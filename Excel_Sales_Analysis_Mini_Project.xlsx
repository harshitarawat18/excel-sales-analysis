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hars\Downloads\"/>
    </mc:Choice>
  </mc:AlternateContent>
  <xr:revisionPtr revIDLastSave="0" documentId="13_ncr:1_{930A91A8-70D7-4EF5-BB72-D888079A819E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Sheet4" sheetId="6" r:id="rId1"/>
    <sheet name="Sheet5" sheetId="7" r:id="rId2"/>
    <sheet name="Sheet6" sheetId="8" r:id="rId3"/>
    <sheet name="Sheet7" sheetId="9" r:id="rId4"/>
    <sheet name="cleaned data" sheetId="3" r:id="rId5"/>
    <sheet name="Raw Sales Data" sheetId="1" r:id="rId6"/>
    <sheet name="Project Tasks" sheetId="2" r:id="rId7"/>
  </sheets>
  <definedNames>
    <definedName name="_xlnm._FilterDatabase" localSheetId="4" hidden="1">'cleaned data'!$A$1:$J$30</definedName>
    <definedName name="_xlnm._FilterDatabase" localSheetId="5" hidden="1">'Raw Sales Data'!$A$1:$J$31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2" i="3"/>
</calcChain>
</file>

<file path=xl/sharedStrings.xml><?xml version="1.0" encoding="utf-8"?>
<sst xmlns="http://schemas.openxmlformats.org/spreadsheetml/2006/main" count="439" uniqueCount="99">
  <si>
    <t>Order ID</t>
  </si>
  <si>
    <t>Order Date</t>
  </si>
  <si>
    <t>Salesperson</t>
  </si>
  <si>
    <t>City</t>
  </si>
  <si>
    <t>Product</t>
  </si>
  <si>
    <t>Category</t>
  </si>
  <si>
    <t>Units</t>
  </si>
  <si>
    <t>Unit Price</t>
  </si>
  <si>
    <t>Discount</t>
  </si>
  <si>
    <t>Payment Method</t>
  </si>
  <si>
    <t>ORD1001</t>
  </si>
  <si>
    <t>Aman</t>
  </si>
  <si>
    <t>Delhi</t>
  </si>
  <si>
    <t>Laptop</t>
  </si>
  <si>
    <t>Electronics</t>
  </si>
  <si>
    <t>UPI</t>
  </si>
  <si>
    <t>ORD1002</t>
  </si>
  <si>
    <t>Riya</t>
  </si>
  <si>
    <t>Mumbai</t>
  </si>
  <si>
    <t>Phone</t>
  </si>
  <si>
    <t>Card</t>
  </si>
  <si>
    <t>ORD1003</t>
  </si>
  <si>
    <t>Karan</t>
  </si>
  <si>
    <t>Jaipur</t>
  </si>
  <si>
    <t>Headphones</t>
  </si>
  <si>
    <t>Accessories</t>
  </si>
  <si>
    <t>Cash</t>
  </si>
  <si>
    <t>ORD1004</t>
  </si>
  <si>
    <t>Neha</t>
  </si>
  <si>
    <t xml:space="preserve">Delhi </t>
  </si>
  <si>
    <t>Tablet</t>
  </si>
  <si>
    <t>ORD1005</t>
  </si>
  <si>
    <t>ORD1006</t>
  </si>
  <si>
    <t>Priya</t>
  </si>
  <si>
    <t xml:space="preserve">  Pune  </t>
  </si>
  <si>
    <t>Mouse</t>
  </si>
  <si>
    <t>ORD1007</t>
  </si>
  <si>
    <t>delhi</t>
  </si>
  <si>
    <t>ORD1008</t>
  </si>
  <si>
    <t>Keyboard</t>
  </si>
  <si>
    <t>ORD1009</t>
  </si>
  <si>
    <t>phone</t>
  </si>
  <si>
    <t>ORD1010</t>
  </si>
  <si>
    <t>Pune</t>
  </si>
  <si>
    <t>ORD1011</t>
  </si>
  <si>
    <t>ORD1012</t>
  </si>
  <si>
    <t>ORD1013</t>
  </si>
  <si>
    <t>ORD1014</t>
  </si>
  <si>
    <t>ORD1015</t>
  </si>
  <si>
    <t>ORD1016</t>
  </si>
  <si>
    <t xml:space="preserve"> Riya </t>
  </si>
  <si>
    <t>ORD1017</t>
  </si>
  <si>
    <t>ORD1018</t>
  </si>
  <si>
    <t>ORD1019</t>
  </si>
  <si>
    <t>ORD1020</t>
  </si>
  <si>
    <t>ORD1021</t>
  </si>
  <si>
    <t>ORD1022</t>
  </si>
  <si>
    <t>ORD1023</t>
  </si>
  <si>
    <t>ORD1024</t>
  </si>
  <si>
    <t>ORD1025</t>
  </si>
  <si>
    <t>ORD1026</t>
  </si>
  <si>
    <t>ORD1027</t>
  </si>
  <si>
    <t>ORD1028</t>
  </si>
  <si>
    <t>ORD1029</t>
  </si>
  <si>
    <t>Excel Mini-Project: Sales Analysis</t>
  </si>
  <si>
    <t>Your task</t>
  </si>
  <si>
    <t>Goal</t>
  </si>
  <si>
    <t>Clean the sales data, calculate revenue, analyze performance, and build a simple dashboard.</t>
  </si>
  <si>
    <t>Step 1 — Make a copy</t>
  </si>
  <si>
    <t>Duplicate the Raw Sales Data sheet and do all cleaning on the copy. Keep the raw sheet unchanged.</t>
  </si>
  <si>
    <t>Step 2 — Clean data</t>
  </si>
  <si>
    <t>Remove the duplicate order; fix extra spaces and inconsistent capitalization in City, Salesperson, and Product; check the blank Discount cell.</t>
  </si>
  <si>
    <t>Step 3 — Add calculations</t>
  </si>
  <si>
    <t>Add Gross Sales = Units × Unit Price; Net Sales = Gross Sales × (1 − Discount). Format both as currency/number.</t>
  </si>
  <si>
    <t>Step 4 — Conditional formatting</t>
  </si>
  <si>
    <t>Highlight high Net Sales values and use data bars or color scales.</t>
  </si>
  <si>
    <t>Step 5 — Pivot Tables</t>
  </si>
  <si>
    <t>Create: Net Sales by Product; Net Sales by City; Net Sales by Salesperson; monthly Net Sales.</t>
  </si>
  <si>
    <t>Step 6 — Chart</t>
  </si>
  <si>
    <t>Make a bar/column chart for Net Sales by Product and a chart for monthly Net Sales.</t>
  </si>
  <si>
    <t>Step 7 — Filters</t>
  </si>
  <si>
    <t>Add filters and test filtering by City, Product, and Payment Method.</t>
  </si>
  <si>
    <t>Step 8 — Summary</t>
  </si>
  <si>
    <t>Write 3 insights: best-selling product by revenue, top city, and top salesperson.</t>
  </si>
  <si>
    <t>Important</t>
  </si>
  <si>
    <t>Do not try to finish everything at once. First complete cleaning and calculations, then send a screenshot for checking.</t>
  </si>
  <si>
    <t>HeadPhones</t>
  </si>
  <si>
    <t>Gross Sales</t>
  </si>
  <si>
    <t>Net Sales</t>
  </si>
  <si>
    <t>Row Labels</t>
  </si>
  <si>
    <t>(blank)</t>
  </si>
  <si>
    <t>Grand Total</t>
  </si>
  <si>
    <t>Sum of Net Sales</t>
  </si>
  <si>
    <t>&lt;05-01-2026</t>
  </si>
  <si>
    <t>Jan</t>
  </si>
  <si>
    <t>Feb</t>
  </si>
  <si>
    <t>Mar</t>
  </si>
  <si>
    <t>2026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</si>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</sst>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dd\-mmm\-yyyy"/>
    <numFmt numFmtId="165" formatCode="&quot;₹&quot;\ #,##0.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1" fillId="2" borderId="0" xfId="0" applyFont="1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43" fontId="0" fillId="0" borderId="0" xfId="0" applyNumberFormat="1"/>
  </cellXfs>
  <cellStyles count="1">
    <cellStyle name="Normal" xfId="0" builtinId="0"/>
  </cellStyles>
  <dxfs count="21"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35" formatCode="_ * #,##0.00_ ;_ * \-#,##0.00_ ;_ * &quot;-&quot;??_ ;_ @_ 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[Excel_Sales_Analysis_Mini_Project.xlsx]Sheet4!PivotTable3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</a:t>
            </a:r>
            <a:r>
              <a:rPr lang="en-US" baseline="0"/>
              <a:t> Sale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HeadPhones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Sheet4!$B$5</c:f>
              <c:numCache>
                <c:formatCode>"₹"\ #,##0.00</c:formatCode>
                <c:ptCount val="1"/>
                <c:pt idx="0">
                  <c:v>23490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30-473A-AB85-89C6178EFAEE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Keyboard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Sheet4!$C$5</c:f>
              <c:numCache>
                <c:formatCode>"₹"\ #,##0.00</c:formatCode>
                <c:ptCount val="1"/>
                <c:pt idx="0">
                  <c:v>12460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30-473A-AB85-89C6178EFAEE}"/>
            </c:ext>
          </c:extLst>
        </c:ser>
        <c:ser>
          <c:idx val="2"/>
          <c:order val="2"/>
          <c:tx>
            <c:strRef>
              <c:f>Sheet4!$D$3:$D$4</c:f>
              <c:strCache>
                <c:ptCount val="1"/>
                <c:pt idx="0">
                  <c:v>Laptop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Sheet4!$D$5</c:f>
              <c:numCache>
                <c:formatCode>"₹"\ #,##0.00</c:formatCode>
                <c:ptCount val="1"/>
                <c:pt idx="0">
                  <c:v>264000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30-473A-AB85-89C6178EFAEE}"/>
            </c:ext>
          </c:extLst>
        </c:ser>
        <c:ser>
          <c:idx val="3"/>
          <c:order val="3"/>
          <c:tx>
            <c:strRef>
              <c:f>Sheet4!$E$3:$E$4</c:f>
              <c:strCache>
                <c:ptCount val="1"/>
                <c:pt idx="0">
                  <c:v>Mouse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Sheet4!$E$5</c:f>
              <c:numCache>
                <c:formatCode>"₹"\ #,##0.00</c:formatCode>
                <c:ptCount val="1"/>
                <c:pt idx="0">
                  <c:v>11700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130-473A-AB85-89C6178EFAEE}"/>
            </c:ext>
          </c:extLst>
        </c:ser>
        <c:ser>
          <c:idx val="4"/>
          <c:order val="4"/>
          <c:tx>
            <c:strRef>
              <c:f>Sheet4!$F$3:$F$4</c:f>
              <c:strCache>
                <c:ptCount val="1"/>
                <c:pt idx="0">
                  <c:v>Phone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Sheet4!$F$5</c:f>
              <c:numCache>
                <c:formatCode>"₹"\ #,##0.00</c:formatCode>
                <c:ptCount val="1"/>
                <c:pt idx="0">
                  <c:v>285800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130-473A-AB85-89C6178EFAEE}"/>
            </c:ext>
          </c:extLst>
        </c:ser>
        <c:ser>
          <c:idx val="5"/>
          <c:order val="5"/>
          <c:tx>
            <c:strRef>
              <c:f>Sheet4!$G$3:$G$4</c:f>
              <c:strCache>
                <c:ptCount val="1"/>
                <c:pt idx="0">
                  <c:v>Tablet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Sheet4!$G$5</c:f>
              <c:numCache>
                <c:formatCode>"₹"\ #,##0.00</c:formatCode>
                <c:ptCount val="1"/>
                <c:pt idx="0">
                  <c:v>135800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30-473A-AB85-89C6178EFAEE}"/>
            </c:ext>
          </c:extLst>
        </c:ser>
        <c:ser>
          <c:idx val="6"/>
          <c:order val="6"/>
          <c:tx>
            <c:strRef>
              <c:f>Sheet4!$H$3:$H$4</c:f>
              <c:strCache>
                <c:ptCount val="1"/>
                <c:pt idx="0">
                  <c:v>(blank)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Sheet4!$H$5</c:f>
              <c:numCache>
                <c:formatCode>"₹"\ #,##0.00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7-F130-473A-AB85-89C6178EF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8757855"/>
        <c:axId val="648741535"/>
      </c:barChart>
      <c:catAx>
        <c:axId val="64875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741535"/>
        <c:crosses val="autoZero"/>
        <c:auto val="1"/>
        <c:lblAlgn val="ctr"/>
        <c:lblOffset val="100"/>
        <c:noMultiLvlLbl val="0"/>
      </c:catAx>
      <c:valAx>
        <c:axId val="64874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75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[Excel_Sales_Analysis_Mini_Project.xlsx]Sheet7!PivotTable6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Net Sales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Sheet7!$B$3:$B$4</c:f>
              <c:strCache>
                <c:ptCount val="1"/>
                <c:pt idx="0">
                  <c:v>&lt;05-01-2026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Sheet7!$A$5:$A$7</c:f>
              <c:strCache>
                <c:ptCount val="2"/>
                <c:pt idx="0">
                  <c:v>&lt;05-01-2026</c:v>
                </c:pt>
                <c:pt idx="1">
                  <c:v>2026</c:v>
                </c:pt>
              </c:strCache>
            </c:strRef>
          </c:cat>
          <c:val>
            <c:numRef>
              <c:f>Sheet7!$B$5:$B$7</c:f>
              <c:numCache>
                <c:formatCode>General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2C-4287-85C9-C18E6D7A0C6A}"/>
            </c:ext>
          </c:extLst>
        </c:ser>
        <c:ser>
          <c:idx val="1"/>
          <c:order val="1"/>
          <c:tx>
            <c:strRef>
              <c:f>Sheet7!$C$3:$C$4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Sheet7!$A$5:$A$7</c:f>
              <c:strCache>
                <c:ptCount val="2"/>
                <c:pt idx="0">
                  <c:v>&lt;05-01-2026</c:v>
                </c:pt>
                <c:pt idx="1">
                  <c:v>2026</c:v>
                </c:pt>
              </c:strCache>
            </c:strRef>
          </c:cat>
          <c:val>
            <c:numRef>
              <c:f>Sheet7!$C$5:$C$7</c:f>
              <c:numCache>
                <c:formatCode>General</c:formatCode>
                <c:ptCount val="2"/>
                <c:pt idx="1">
                  <c:v>259410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2C-4287-85C9-C18E6D7A0C6A}"/>
            </c:ext>
          </c:extLst>
        </c:ser>
        <c:ser>
          <c:idx val="2"/>
          <c:order val="2"/>
          <c:tx>
            <c:strRef>
              <c:f>Sheet7!$D$3:$D$4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Sheet7!$A$5:$A$7</c:f>
              <c:strCache>
                <c:ptCount val="2"/>
                <c:pt idx="0">
                  <c:v>&lt;05-01-2026</c:v>
                </c:pt>
                <c:pt idx="1">
                  <c:v>2026</c:v>
                </c:pt>
              </c:strCache>
            </c:strRef>
          </c:cat>
          <c:val>
            <c:numRef>
              <c:f>Sheet7!$D$5:$D$7</c:f>
              <c:numCache>
                <c:formatCode>General</c:formatCode>
                <c:ptCount val="2"/>
                <c:pt idx="1">
                  <c:v>203430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2C-4287-85C9-C18E6D7A0C6A}"/>
            </c:ext>
          </c:extLst>
        </c:ser>
        <c:ser>
          <c:idx val="3"/>
          <c:order val="3"/>
          <c:tx>
            <c:strRef>
              <c:f>Sheet7!$E$3:$E$4</c:f>
              <c:strCache>
                <c:ptCount val="1"/>
                <c:pt idx="0">
                  <c:v>Mar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Sheet7!$A$5:$A$7</c:f>
              <c:strCache>
                <c:ptCount val="2"/>
                <c:pt idx="0">
                  <c:v>&lt;05-01-2026</c:v>
                </c:pt>
                <c:pt idx="1">
                  <c:v>2026</c:v>
                </c:pt>
              </c:strCache>
            </c:strRef>
          </c:cat>
          <c:val>
            <c:numRef>
              <c:f>Sheet7!$E$5:$E$7</c:f>
              <c:numCache>
                <c:formatCode>General</c:formatCode>
                <c:ptCount val="2"/>
                <c:pt idx="1">
                  <c:v>270410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82C-4287-85C9-C18E6D7A0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1802111"/>
        <c:axId val="841793471"/>
      </c:lineChart>
      <c:catAx>
        <c:axId val="841802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1793471"/>
        <c:crosses val="autoZero"/>
        <c:auto val="1"/>
        <c:lblAlgn val="ctr"/>
        <c:lblOffset val="100"/>
        <c:noMultiLvlLbl val="0"/>
      </c:catAx>
      <c:valAx>
        <c:axId val="84179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1802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135730</xdr:colOff>
      <xdr:row>7</xdr:row>
      <xdr:rowOff>47625</xdr:rowOff>
    </xdr:from>
    <xdr:to>
      <xdr:col>10</xdr:col>
      <xdr:colOff>173830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BA6A2E-742E-80CB-334A-F1251F7570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11905</xdr:colOff>
      <xdr:row>9</xdr:row>
      <xdr:rowOff>0</xdr:rowOff>
    </xdr:from>
    <xdr:to>
      <xdr:col>10</xdr:col>
      <xdr:colOff>50005</xdr:colOff>
      <xdr:row>24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8AE7C4-CE64-E0D9-9A78-1E71FF99D1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hars" refreshedDate="46320.810269675923" createdVersion="8" refreshedVersion="8" minRefreshableVersion="3" recordCount="31" xr:uid="{7907BDF4-BF76-4DD4-8A96-46374ED753EB}">
  <cacheSource type="worksheet">
    <worksheetSource ref="A1:L1048576" sheet="cleaned data"/>
  </cacheSource>
  <cacheFields count="14">
    <cacheField name="Order ID" numFmtId="0">
      <sharedItems containsBlank="1"/>
    </cacheField>
    <cacheField name="Order Date" numFmtId="0">
      <sharedItems containsNonDate="0" containsDate="1" containsString="0" containsBlank="1" minDate="2026-01-05T00:00:00" maxDate="2026-03-31T00:00:00" count="30">
        <d v="2026-01-05T00:00:00"/>
        <d v="2026-01-07T00:00:00"/>
        <d v="2026-01-09T00:00:00"/>
        <d v="2026-01-12T00:00:00"/>
        <d v="2026-01-15T00:00:00"/>
        <d v="2026-01-18T00:00:00"/>
        <d v="2026-01-20T00:00:00"/>
        <d v="2026-01-23T00:00:00"/>
        <d v="2026-01-26T00:00:00"/>
        <d v="2026-02-02T00:00:00"/>
        <d v="2026-02-05T00:00:00"/>
        <d v="2026-02-08T00:00:00"/>
        <d v="2026-02-10T00:00:00"/>
        <d v="2026-02-13T00:00:00"/>
        <d v="2026-02-16T00:00:00"/>
        <d v="2026-02-19T00:00:00"/>
        <d v="2026-02-22T00:00:00"/>
        <d v="2026-02-25T00:00:00"/>
        <d v="2026-03-01T00:00:00"/>
        <d v="2026-03-04T00:00:00"/>
        <d v="2026-03-07T00:00:00"/>
        <d v="2026-03-10T00:00:00"/>
        <d v="2026-03-13T00:00:00"/>
        <d v="2026-03-16T00:00:00"/>
        <d v="2026-03-19T00:00:00"/>
        <d v="2026-03-22T00:00:00"/>
        <d v="2026-03-25T00:00:00"/>
        <d v="2026-03-28T00:00:00"/>
        <d v="2026-03-30T00:00:00"/>
        <m/>
      </sharedItems>
      <fieldGroup par="13"/>
    </cacheField>
    <cacheField name="Salesperson" numFmtId="0">
      <sharedItems containsBlank="1" count="7">
        <s v="Aman"/>
        <s v="Riya"/>
        <s v="Karan"/>
        <s v="Neha"/>
        <s v="Priya"/>
        <s v=" Riya "/>
        <m/>
      </sharedItems>
    </cacheField>
    <cacheField name="City" numFmtId="0">
      <sharedItems containsBlank="1" count="7">
        <s v="Delhi"/>
        <s v="Mumbai"/>
        <s v="Jaipur"/>
        <s v="Delhi "/>
        <s v="  Pune  "/>
        <s v="Pune"/>
        <m/>
      </sharedItems>
    </cacheField>
    <cacheField name="Product" numFmtId="0">
      <sharedItems containsBlank="1" count="7">
        <s v="Laptop"/>
        <s v="Phone"/>
        <s v="HeadPhones"/>
        <s v="Tablet"/>
        <s v="Mouse"/>
        <s v="Keyboard"/>
        <m/>
      </sharedItems>
    </cacheField>
    <cacheField name="Category" numFmtId="0">
      <sharedItems containsBlank="1"/>
    </cacheField>
    <cacheField name="Units" numFmtId="0">
      <sharedItems containsString="0" containsBlank="1" containsNumber="1" containsInteger="1" minValue="1" maxValue="6"/>
    </cacheField>
    <cacheField name="Unit Price" numFmtId="0">
      <sharedItems containsString="0" containsBlank="1" containsNumber="1" containsInteger="1" minValue="650" maxValue="55000"/>
    </cacheField>
    <cacheField name="Discount" numFmtId="0">
      <sharedItems containsString="0" containsBlank="1" containsNumber="1" minValue="0" maxValue="0.1"/>
    </cacheField>
    <cacheField name="Payment Method" numFmtId="0">
      <sharedItems containsBlank="1"/>
    </cacheField>
    <cacheField name="Gross Sales" numFmtId="0">
      <sharedItems containsString="0" containsBlank="1" containsNumber="1" containsInteger="1" minValue="1950" maxValue="66000"/>
    </cacheField>
    <cacheField name="Net Sales" numFmtId="0">
      <sharedItems containsString="0" containsBlank="1" containsNumber="1" containsInteger="1" minValue="1950" maxValue="62700"/>
    </cacheField>
    <cacheField name="Months (Order Date)" numFmtId="0" databaseField="0">
      <fieldGroup base="1">
        <rangePr groupBy="months" startDate="2026-01-05T00:00:00" endDate="2026-03-31T00:00:00"/>
        <groupItems count="14">
          <s v="&lt;05-01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03-2026"/>
        </groupItems>
      </fieldGroup>
    </cacheField>
    <cacheField name="Years (Order Date)" numFmtId="0" databaseField="0">
      <fieldGroup base="1">
        <rangePr groupBy="years" startDate="2026-01-05T00:00:00" endDate="2026-03-31T00:00:00"/>
        <groupItems count="3">
          <s v="&lt;05-01-2026"/>
          <s v="2026"/>
          <s v="&gt;31-03-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s v="ORD1001"/>
    <x v="0"/>
    <x v="0"/>
    <x v="0"/>
    <x v="0"/>
    <s v="Electronics"/>
    <n v="1"/>
    <n v="55000"/>
    <n v="0.05"/>
    <s v="UPI"/>
    <n v="55000"/>
    <n v="52250"/>
  </r>
  <r>
    <s v="ORD1002"/>
    <x v="1"/>
    <x v="1"/>
    <x v="1"/>
    <x v="1"/>
    <s v="Electronics"/>
    <n v="2"/>
    <n v="22000"/>
    <n v="0"/>
    <s v="Card"/>
    <n v="44000"/>
    <n v="44000"/>
  </r>
  <r>
    <s v="ORD1003"/>
    <x v="2"/>
    <x v="2"/>
    <x v="2"/>
    <x v="2"/>
    <s v="Accessories"/>
    <n v="3"/>
    <n v="1800"/>
    <n v="0.1"/>
    <s v="Cash"/>
    <n v="5400"/>
    <n v="4860"/>
  </r>
  <r>
    <s v="ORD1004"/>
    <x v="3"/>
    <x v="3"/>
    <x v="3"/>
    <x v="3"/>
    <s v="Electronics"/>
    <n v="1"/>
    <n v="28000"/>
    <n v="0.05"/>
    <s v="UPI"/>
    <n v="28000"/>
    <n v="26600"/>
  </r>
  <r>
    <s v="ORD1005"/>
    <x v="4"/>
    <x v="0"/>
    <x v="1"/>
    <x v="0"/>
    <s v="Electronics"/>
    <n v="1"/>
    <n v="55000"/>
    <n v="0"/>
    <s v="Card"/>
    <n v="55000"/>
    <n v="55000"/>
  </r>
  <r>
    <s v="ORD1006"/>
    <x v="5"/>
    <x v="4"/>
    <x v="4"/>
    <x v="4"/>
    <s v="Accessories"/>
    <n v="4"/>
    <n v="650"/>
    <n v="0"/>
    <s v="UPI"/>
    <n v="2600"/>
    <n v="2600"/>
  </r>
  <r>
    <s v="ORD1007"/>
    <x v="6"/>
    <x v="1"/>
    <x v="0"/>
    <x v="1"/>
    <s v="Electronics"/>
    <n v="1"/>
    <n v="22000"/>
    <n v="0.05"/>
    <s v="Cash"/>
    <n v="22000"/>
    <n v="20900"/>
  </r>
  <r>
    <s v="ORD1008"/>
    <x v="7"/>
    <x v="2"/>
    <x v="2"/>
    <x v="5"/>
    <s v="Accessories"/>
    <n v="2"/>
    <n v="1400"/>
    <n v="0"/>
    <s v="Card"/>
    <n v="2800"/>
    <n v="2800"/>
  </r>
  <r>
    <s v="ORD1009"/>
    <x v="8"/>
    <x v="3"/>
    <x v="1"/>
    <x v="1"/>
    <s v="Electronics"/>
    <n v="2"/>
    <n v="28000"/>
    <n v="0.1"/>
    <s v="UPI"/>
    <n v="56000"/>
    <n v="50400"/>
  </r>
  <r>
    <s v="ORD1010"/>
    <x v="9"/>
    <x v="0"/>
    <x v="5"/>
    <x v="2"/>
    <s v="Accessories"/>
    <n v="2"/>
    <n v="1800"/>
    <n v="0"/>
    <s v="Cash"/>
    <n v="3600"/>
    <n v="3600"/>
  </r>
  <r>
    <s v="ORD1011"/>
    <x v="10"/>
    <x v="4"/>
    <x v="0"/>
    <x v="1"/>
    <s v="Electronics"/>
    <n v="3"/>
    <n v="22000"/>
    <n v="0.05"/>
    <s v="Card"/>
    <n v="66000"/>
    <n v="62700"/>
  </r>
  <r>
    <s v="ORD1012"/>
    <x v="11"/>
    <x v="1"/>
    <x v="1"/>
    <x v="4"/>
    <s v="Accessories"/>
    <n v="5"/>
    <n v="650"/>
    <n v="0"/>
    <s v="UPI"/>
    <n v="3250"/>
    <n v="3250"/>
  </r>
  <r>
    <s v="ORD1013"/>
    <x v="12"/>
    <x v="2"/>
    <x v="2"/>
    <x v="0"/>
    <s v="Electronics"/>
    <n v="1"/>
    <n v="55000"/>
    <n v="0.1"/>
    <s v="Card"/>
    <n v="55000"/>
    <n v="49500"/>
  </r>
  <r>
    <s v="ORD1014"/>
    <x v="13"/>
    <x v="3"/>
    <x v="0"/>
    <x v="5"/>
    <s v="Accessories"/>
    <n v="3"/>
    <n v="1400"/>
    <n v="0"/>
    <s v="Cash"/>
    <n v="4200"/>
    <n v="4200"/>
  </r>
  <r>
    <s v="ORD1015"/>
    <x v="14"/>
    <x v="0"/>
    <x v="1"/>
    <x v="1"/>
    <s v="Electronics"/>
    <n v="2"/>
    <n v="22000"/>
    <n v="0.05"/>
    <s v="UPI"/>
    <n v="44000"/>
    <n v="41800"/>
  </r>
  <r>
    <s v="ORD1016"/>
    <x v="15"/>
    <x v="5"/>
    <x v="5"/>
    <x v="3"/>
    <s v="Electronics"/>
    <n v="1"/>
    <n v="28000"/>
    <n v="0"/>
    <s v="Card"/>
    <n v="28000"/>
    <n v="28000"/>
  </r>
  <r>
    <s v="ORD1017"/>
    <x v="16"/>
    <x v="1"/>
    <x v="0"/>
    <x v="2"/>
    <s v="Accessories"/>
    <n v="4"/>
    <n v="1800"/>
    <n v="0.1"/>
    <s v="Cash"/>
    <n v="7200"/>
    <n v="6480"/>
  </r>
  <r>
    <s v="ORD1018"/>
    <x v="17"/>
    <x v="2"/>
    <x v="2"/>
    <x v="4"/>
    <s v="Accessories"/>
    <n v="6"/>
    <n v="650"/>
    <n v="0"/>
    <s v="UPI"/>
    <n v="3900"/>
    <n v="3900"/>
  </r>
  <r>
    <s v="ORD1019"/>
    <x v="18"/>
    <x v="3"/>
    <x v="1"/>
    <x v="0"/>
    <s v="Electronics"/>
    <n v="1"/>
    <n v="55000"/>
    <n v="0.05"/>
    <s v="Card"/>
    <n v="55000"/>
    <n v="52250"/>
  </r>
  <r>
    <s v="ORD1020"/>
    <x v="19"/>
    <x v="0"/>
    <x v="5"/>
    <x v="5"/>
    <s v="Accessories"/>
    <n v="2"/>
    <n v="1400"/>
    <n v="0"/>
    <s v="UPI"/>
    <n v="2800"/>
    <n v="2800"/>
  </r>
  <r>
    <s v="ORD1021"/>
    <x v="20"/>
    <x v="4"/>
    <x v="0"/>
    <x v="3"/>
    <s v="Electronics"/>
    <n v="2"/>
    <n v="28000"/>
    <n v="0"/>
    <s v="Cash"/>
    <n v="56000"/>
    <n v="56000"/>
  </r>
  <r>
    <s v="ORD1022"/>
    <x v="21"/>
    <x v="1"/>
    <x v="1"/>
    <x v="1"/>
    <s v="Electronics"/>
    <n v="1"/>
    <n v="22000"/>
    <n v="0"/>
    <s v="Card"/>
    <n v="22000"/>
    <n v="22000"/>
  </r>
  <r>
    <s v="ORD1023"/>
    <x v="22"/>
    <x v="2"/>
    <x v="2"/>
    <x v="2"/>
    <s v="Accessories"/>
    <n v="2"/>
    <n v="1800"/>
    <n v="0.05"/>
    <s v="UPI"/>
    <n v="3600"/>
    <n v="3420"/>
  </r>
  <r>
    <s v="ORD1024"/>
    <x v="23"/>
    <x v="3"/>
    <x v="0"/>
    <x v="4"/>
    <s v="Accessories"/>
    <n v="3"/>
    <n v="650"/>
    <n v="0"/>
    <s v="Cash"/>
    <n v="1950"/>
    <n v="1950"/>
  </r>
  <r>
    <s v="ORD1025"/>
    <x v="24"/>
    <x v="0"/>
    <x v="1"/>
    <x v="3"/>
    <s v="Electronics"/>
    <n v="1"/>
    <n v="28000"/>
    <n v="0.1"/>
    <s v="UPI"/>
    <n v="28000"/>
    <n v="25200"/>
  </r>
  <r>
    <s v="ORD1026"/>
    <x v="25"/>
    <x v="4"/>
    <x v="5"/>
    <x v="0"/>
    <s v="Electronics"/>
    <n v="1"/>
    <n v="55000"/>
    <n v="0"/>
    <s v="Card"/>
    <n v="55000"/>
    <n v="55000"/>
  </r>
  <r>
    <s v="ORD1027"/>
    <x v="26"/>
    <x v="1"/>
    <x v="0"/>
    <x v="5"/>
    <s v="Accessories"/>
    <n v="2"/>
    <n v="1400"/>
    <n v="0.05"/>
    <s v="UPI"/>
    <n v="2800"/>
    <n v="2660"/>
  </r>
  <r>
    <s v="ORD1028"/>
    <x v="27"/>
    <x v="2"/>
    <x v="2"/>
    <x v="1"/>
    <s v="Electronics"/>
    <n v="2"/>
    <n v="22000"/>
    <n v="0"/>
    <s v="Cash"/>
    <n v="44000"/>
    <n v="44000"/>
  </r>
  <r>
    <s v="ORD1029"/>
    <x v="28"/>
    <x v="3"/>
    <x v="1"/>
    <x v="2"/>
    <s v="Accessories"/>
    <n v="3"/>
    <n v="1800"/>
    <n v="0.05"/>
    <s v="Card"/>
    <n v="5400"/>
    <n v="5130"/>
  </r>
  <r>
    <m/>
    <x v="29"/>
    <x v="6"/>
    <x v="6"/>
    <x v="6"/>
    <m/>
    <m/>
    <m/>
    <m/>
    <m/>
    <m/>
    <m/>
  </r>
  <r>
    <m/>
    <x v="29"/>
    <x v="6"/>
    <x v="6"/>
    <x v="6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C56A67-7754-439F-91FD-E0D01ABCDB9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I5" firstHeaderRow="1" firstDataRow="2" firstDataCol="1"/>
  <pivotFields count="14">
    <pivotField showAll="0"/>
    <pivotField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axis="axisCol" showAll="0">
      <items count="8">
        <item x="2"/>
        <item x="5"/>
        <item x="0"/>
        <item x="4"/>
        <item x="1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Items count="1">
    <i/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 of Net Sales" fld="11" baseField="0" baseItem="0"/>
  </dataFields>
  <formats count="8">
    <format dxfId="15">
      <pivotArea collapsedLevelsAreSubtotals="1" fieldPosition="0">
        <references count="1">
          <reference field="4" count="1">
            <x v="0"/>
          </reference>
        </references>
      </pivotArea>
    </format>
    <format dxfId="14">
      <pivotArea collapsedLevelsAreSubtotals="1" fieldPosition="0">
        <references count="1">
          <reference field="4" count="1">
            <x v="1"/>
          </reference>
        </references>
      </pivotArea>
    </format>
    <format dxfId="13">
      <pivotArea collapsedLevelsAreSubtotals="1" fieldPosition="0">
        <references count="1">
          <reference field="4" count="1">
            <x v="2"/>
          </reference>
        </references>
      </pivotArea>
    </format>
    <format dxfId="12">
      <pivotArea collapsedLevelsAreSubtotals="1" fieldPosition="0">
        <references count="1">
          <reference field="4" count="1">
            <x v="3"/>
          </reference>
        </references>
      </pivotArea>
    </format>
    <format dxfId="11">
      <pivotArea collapsedLevelsAreSubtotals="1" fieldPosition="0">
        <references count="1">
          <reference field="4" count="1">
            <x v="4"/>
          </reference>
        </references>
      </pivotArea>
    </format>
    <format dxfId="10">
      <pivotArea collapsedLevelsAreSubtotals="1" fieldPosition="0">
        <references count="1">
          <reference field="4" count="1">
            <x v="5"/>
          </reference>
        </references>
      </pivotArea>
    </format>
    <format dxfId="9">
      <pivotArea grandRow="1" outline="0" collapsedLevelsAreSubtotals="1" fieldPosition="0"/>
    </format>
    <format dxfId="8">
      <pivotArea dataOnly="0" labelOnly="1" fieldPosition="0">
        <references count="1">
          <reference field="4" count="1">
            <x v="0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D204D5-C7D5-4F6C-BCAA-8AE5C83D80A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14">
    <pivotField showAll="0"/>
    <pivotField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axis="axisRow" showAll="0" sortType="descending">
      <items count="8">
        <item x="4"/>
        <item x="0"/>
        <item x="3"/>
        <item x="2"/>
        <item x="1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3"/>
  </rowFields>
  <rowItems count="8">
    <i>
      <x v="4"/>
    </i>
    <i>
      <x v="1"/>
    </i>
    <i>
      <x v="3"/>
    </i>
    <i>
      <x v="5"/>
    </i>
    <i>
      <x v="2"/>
    </i>
    <i>
      <x/>
    </i>
    <i>
      <x v="6"/>
    </i>
    <i t="grand">
      <x/>
    </i>
  </rowItems>
  <colItems count="1">
    <i/>
  </colItems>
  <dataFields count="1">
    <dataField name="Sum of Net Sales" fld="11" baseField="0" baseItem="0" numFmtId="165"/>
  </dataFields>
  <formats count="3">
    <format dxfId="7">
      <pivotArea collapsedLevelsAreSubtotals="1" fieldPosition="0">
        <references count="1">
          <reference field="3" count="1">
            <x v="4"/>
          </reference>
        </references>
      </pivotArea>
    </format>
    <format dxfId="5">
      <pivotArea outline="0" collapsedLevelsAreSubtotals="1" fieldPosition="0"/>
    </format>
    <format dxfId="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F8524D-42A4-41BB-A4A3-F56AC090465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14">
    <pivotField showAll="0"/>
    <pivotField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 sortType="descending">
      <items count="8">
        <item x="5"/>
        <item x="0"/>
        <item x="2"/>
        <item x="3"/>
        <item x="4"/>
        <item x="1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2"/>
  </rowFields>
  <rowItems count="8">
    <i>
      <x v="1"/>
    </i>
    <i>
      <x v="4"/>
    </i>
    <i>
      <x v="3"/>
    </i>
    <i>
      <x v="2"/>
    </i>
    <i>
      <x v="5"/>
    </i>
    <i>
      <x/>
    </i>
    <i>
      <x v="6"/>
    </i>
    <i t="grand">
      <x/>
    </i>
  </rowItems>
  <colItems count="1">
    <i/>
  </colItems>
  <dataFields count="1">
    <dataField name="Sum of Net Sales" fld="11" baseField="0" baseItem="0" numFmtId="165"/>
  </dataFields>
  <formats count="2">
    <format dxfId="2">
      <pivotArea outline="0" collapsedLevelsAreSubtotals="1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A6A43B-D562-4EF2-A02C-FB7AC3D7AC9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F7" firstHeaderRow="1" firstDataRow="2" firstDataCol="1"/>
  <pivotFields count="14">
    <pivotField showAll="0"/>
    <pivotField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4">
        <item x="0"/>
        <item x="1"/>
        <item x="2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Sum of Net Sales" fld="11" baseField="0" baseItem="0"/>
  </dataFields>
  <formats count="5">
    <format dxfId="20">
      <pivotArea collapsedLevelsAreSubtotals="1" fieldPosition="0">
        <references count="1">
          <reference field="13" count="1">
            <x v="1"/>
          </reference>
        </references>
      </pivotArea>
    </format>
    <format dxfId="19">
      <pivotArea collapsedLevelsAreSubtotals="1" fieldPosition="0">
        <references count="2">
          <reference field="12" count="1">
            <x v="1"/>
          </reference>
          <reference field="13" count="1" selected="0">
            <x v="1"/>
          </reference>
        </references>
      </pivotArea>
    </format>
    <format dxfId="18">
      <pivotArea collapsedLevelsAreSubtotals="1" fieldPosition="0">
        <references count="2">
          <reference field="12" count="1">
            <x v="2"/>
          </reference>
          <reference field="13" count="1" selected="0">
            <x v="1"/>
          </reference>
        </references>
      </pivotArea>
    </format>
    <format dxfId="17">
      <pivotArea collapsedLevelsAreSubtotals="1" fieldPosition="0">
        <references count="2">
          <reference field="12" count="1">
            <x v="3"/>
          </reference>
          <reference field="13" count="1" selected="0">
            <x v="1"/>
          </reference>
        </references>
      </pivotArea>
    </format>
    <format dxfId="16">
      <pivotArea grandRow="1" outline="0" collapsedLevelsAreSubtotals="1" fieldPosition="0"/>
    </format>
  </format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E5917-6B00-4E3E-A51B-5007A6183FCA}">
  <dimension ref="A3:I5"/>
  <sheetViews>
    <sheetView workbookViewId="0">
      <selection activeCell="B5" sqref="B5"/>
    </sheetView>
  </sheetViews>
  <sheetFormatPr defaultRowHeight="14.25" x14ac:dyDescent="0.45"/>
  <cols>
    <col min="1" max="1" width="14.53125" bestFit="1" customWidth="1"/>
    <col min="2" max="2" width="14.73046875" bestFit="1" customWidth="1"/>
    <col min="3" max="3" width="10.19921875" bestFit="1" customWidth="1"/>
    <col min="4" max="4" width="11.6640625" bestFit="1" customWidth="1"/>
    <col min="5" max="5" width="10.19921875" bestFit="1" customWidth="1"/>
    <col min="6" max="7" width="11.6640625" bestFit="1" customWidth="1"/>
    <col min="8" max="8" width="6.3984375" bestFit="1" customWidth="1"/>
    <col min="9" max="9" width="11.6640625" bestFit="1" customWidth="1"/>
  </cols>
  <sheetData>
    <row r="3" spans="1:9" x14ac:dyDescent="0.45">
      <c r="B3" s="7" t="s">
        <v>98</v>
      </c>
    </row>
    <row r="4" spans="1:9" x14ac:dyDescent="0.45">
      <c r="B4" s="10" t="s">
        <v>86</v>
      </c>
      <c r="C4" t="s">
        <v>39</v>
      </c>
      <c r="D4" t="s">
        <v>13</v>
      </c>
      <c r="E4" t="s">
        <v>35</v>
      </c>
      <c r="F4" t="s">
        <v>19</v>
      </c>
      <c r="G4" t="s">
        <v>30</v>
      </c>
      <c r="H4" t="s">
        <v>90</v>
      </c>
      <c r="I4" t="s">
        <v>91</v>
      </c>
    </row>
    <row r="5" spans="1:9" x14ac:dyDescent="0.45">
      <c r="A5" t="s">
        <v>92</v>
      </c>
      <c r="B5" s="9">
        <v>23490</v>
      </c>
      <c r="C5" s="9">
        <v>12460</v>
      </c>
      <c r="D5" s="9">
        <v>264000</v>
      </c>
      <c r="E5" s="9">
        <v>11700</v>
      </c>
      <c r="F5" s="9">
        <v>285800</v>
      </c>
      <c r="G5" s="9">
        <v>135800</v>
      </c>
      <c r="H5" s="9"/>
      <c r="I5" s="9">
        <v>733250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B33B-51F7-4B31-A862-286FB8B25459}">
  <dimension ref="A3:B11"/>
  <sheetViews>
    <sheetView topLeftCell="A4" workbookViewId="0">
      <selection activeCell="D13" sqref="D13"/>
    </sheetView>
  </sheetViews>
  <sheetFormatPr defaultRowHeight="14.25" x14ac:dyDescent="0.45"/>
  <cols>
    <col min="1" max="1" width="12.06640625" bestFit="1" customWidth="1"/>
    <col min="2" max="2" width="14.53125" style="9" bestFit="1" customWidth="1"/>
  </cols>
  <sheetData>
    <row r="3" spans="1:2" x14ac:dyDescent="0.45">
      <c r="A3" s="7" t="s">
        <v>89</v>
      </c>
      <c r="B3" s="9" t="s">
        <v>92</v>
      </c>
    </row>
    <row r="4" spans="1:2" x14ac:dyDescent="0.45">
      <c r="A4" s="8" t="s">
        <v>18</v>
      </c>
      <c r="B4" s="9">
        <v>299030</v>
      </c>
    </row>
    <row r="5" spans="1:2" x14ac:dyDescent="0.45">
      <c r="A5" s="8" t="s">
        <v>12</v>
      </c>
      <c r="B5" s="9">
        <v>207140</v>
      </c>
    </row>
    <row r="6" spans="1:2" x14ac:dyDescent="0.45">
      <c r="A6" s="8" t="s">
        <v>23</v>
      </c>
      <c r="B6" s="9">
        <v>108480</v>
      </c>
    </row>
    <row r="7" spans="1:2" x14ac:dyDescent="0.45">
      <c r="A7" s="8" t="s">
        <v>43</v>
      </c>
      <c r="B7" s="9">
        <v>89400</v>
      </c>
    </row>
    <row r="8" spans="1:2" x14ac:dyDescent="0.45">
      <c r="A8" s="8" t="s">
        <v>29</v>
      </c>
      <c r="B8" s="9">
        <v>26600</v>
      </c>
    </row>
    <row r="9" spans="1:2" x14ac:dyDescent="0.45">
      <c r="A9" s="8" t="s">
        <v>34</v>
      </c>
      <c r="B9" s="9">
        <v>2600</v>
      </c>
    </row>
    <row r="10" spans="1:2" x14ac:dyDescent="0.45">
      <c r="A10" s="8" t="s">
        <v>90</v>
      </c>
    </row>
    <row r="11" spans="1:2" x14ac:dyDescent="0.45">
      <c r="A11" s="8" t="s">
        <v>91</v>
      </c>
      <c r="B11" s="9">
        <v>733250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ACCC6-5107-459F-998C-33962E24A8D3}">
  <dimension ref="A3:B11"/>
  <sheetViews>
    <sheetView tabSelected="1" workbookViewId="0">
      <selection activeCell="H10" sqref="H10"/>
    </sheetView>
  </sheetViews>
  <sheetFormatPr defaultRowHeight="14.25" x14ac:dyDescent="0.45"/>
  <cols>
    <col min="1" max="1" width="12.06640625" bestFit="1" customWidth="1"/>
    <col min="2" max="2" width="14.53125" style="9" bestFit="1" customWidth="1"/>
  </cols>
  <sheetData>
    <row r="3" spans="1:2" x14ac:dyDescent="0.45">
      <c r="A3" s="7" t="s">
        <v>89</v>
      </c>
      <c r="B3" s="9" t="s">
        <v>92</v>
      </c>
    </row>
    <row r="4" spans="1:2" x14ac:dyDescent="0.45">
      <c r="A4" s="8" t="s">
        <v>11</v>
      </c>
      <c r="B4" s="9">
        <v>180650</v>
      </c>
    </row>
    <row r="5" spans="1:2" x14ac:dyDescent="0.45">
      <c r="A5" s="8" t="s">
        <v>33</v>
      </c>
      <c r="B5" s="9">
        <v>176300</v>
      </c>
    </row>
    <row r="6" spans="1:2" x14ac:dyDescent="0.45">
      <c r="A6" s="8" t="s">
        <v>28</v>
      </c>
      <c r="B6" s="9">
        <v>140530</v>
      </c>
    </row>
    <row r="7" spans="1:2" x14ac:dyDescent="0.45">
      <c r="A7" s="8" t="s">
        <v>22</v>
      </c>
      <c r="B7" s="9">
        <v>108480</v>
      </c>
    </row>
    <row r="8" spans="1:2" x14ac:dyDescent="0.45">
      <c r="A8" s="8" t="s">
        <v>17</v>
      </c>
      <c r="B8" s="9">
        <v>99290</v>
      </c>
    </row>
    <row r="9" spans="1:2" x14ac:dyDescent="0.45">
      <c r="A9" s="8" t="s">
        <v>50</v>
      </c>
      <c r="B9" s="9">
        <v>28000</v>
      </c>
    </row>
    <row r="10" spans="1:2" x14ac:dyDescent="0.45">
      <c r="A10" s="8" t="s">
        <v>90</v>
      </c>
    </row>
    <row r="11" spans="1:2" x14ac:dyDescent="0.45">
      <c r="A11" s="8" t="s">
        <v>91</v>
      </c>
      <c r="B11" s="9">
        <v>733250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043CF-8B27-4E58-8E97-A593338E1D1B}">
  <dimension ref="A3:F7"/>
  <sheetViews>
    <sheetView topLeftCell="A2" workbookViewId="0">
      <selection activeCell="A7" sqref="A7"/>
    </sheetView>
  </sheetViews>
  <sheetFormatPr defaultRowHeight="14.25" x14ac:dyDescent="0.45"/>
  <cols>
    <col min="1" max="1" width="14.53125" bestFit="1" customWidth="1"/>
    <col min="2" max="2" width="14.73046875" bestFit="1" customWidth="1"/>
    <col min="3" max="6" width="11.6640625" bestFit="1" customWidth="1"/>
  </cols>
  <sheetData>
    <row r="3" spans="1:6" x14ac:dyDescent="0.45">
      <c r="A3" s="7" t="s">
        <v>92</v>
      </c>
      <c r="B3" s="7" t="s">
        <v>98</v>
      </c>
    </row>
    <row r="4" spans="1:6" x14ac:dyDescent="0.45">
      <c r="A4" s="7" t="s">
        <v>89</v>
      </c>
      <c r="B4" t="s">
        <v>93</v>
      </c>
      <c r="C4" t="s">
        <v>94</v>
      </c>
      <c r="D4" t="s">
        <v>95</v>
      </c>
      <c r="E4" t="s">
        <v>96</v>
      </c>
      <c r="F4" t="s">
        <v>91</v>
      </c>
    </row>
    <row r="5" spans="1:6" x14ac:dyDescent="0.45">
      <c r="A5" s="8" t="s">
        <v>93</v>
      </c>
    </row>
    <row r="6" spans="1:6" x14ac:dyDescent="0.45">
      <c r="A6" s="8" t="s">
        <v>97</v>
      </c>
      <c r="B6" s="9"/>
      <c r="C6" s="9">
        <v>259410</v>
      </c>
      <c r="D6" s="9">
        <v>203430</v>
      </c>
      <c r="E6" s="9">
        <v>270410</v>
      </c>
      <c r="F6" s="9">
        <v>733250</v>
      </c>
    </row>
    <row r="7" spans="1:6" x14ac:dyDescent="0.45">
      <c r="A7" s="8" t="s">
        <v>91</v>
      </c>
      <c r="B7" s="9"/>
      <c r="C7" s="9">
        <v>259410</v>
      </c>
      <c r="D7" s="9">
        <v>203430</v>
      </c>
      <c r="E7" s="9">
        <v>270410</v>
      </c>
      <c r="F7" s="9">
        <v>733250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CCA7E-2DB5-45FF-B539-110449135BCB}">
  <dimension ref="A1:L30"/>
  <sheetViews>
    <sheetView workbookViewId="0">
      <pane ySplit="1" topLeftCell="A3" activePane="bottomLeft" state="frozen"/>
      <selection pane="bottomLeft" sqref="A1:XFD1048576"/>
    </sheetView>
  </sheetViews>
  <sheetFormatPr defaultRowHeight="14.25" x14ac:dyDescent="0.45"/>
  <cols>
    <col min="1" max="2" width="14" customWidth="1"/>
    <col min="3" max="3" width="16" customWidth="1"/>
    <col min="4" max="4" width="16.06640625" customWidth="1"/>
    <col min="5" max="6" width="18" customWidth="1"/>
    <col min="7" max="7" width="10" customWidth="1"/>
    <col min="8" max="8" width="14" customWidth="1"/>
    <col min="9" max="9" width="12" customWidth="1"/>
    <col min="10" max="10" width="18" customWidth="1"/>
  </cols>
  <sheetData>
    <row r="1" spans="1:12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87</v>
      </c>
      <c r="L1" s="1" t="s">
        <v>88</v>
      </c>
    </row>
    <row r="2" spans="1:12" x14ac:dyDescent="0.45">
      <c r="A2" t="s">
        <v>10</v>
      </c>
      <c r="B2" s="2">
        <v>46027</v>
      </c>
      <c r="C2" t="s">
        <v>11</v>
      </c>
      <c r="D2" t="s">
        <v>12</v>
      </c>
      <c r="E2" t="s">
        <v>13</v>
      </c>
      <c r="F2" t="s">
        <v>14</v>
      </c>
      <c r="G2">
        <v>1</v>
      </c>
      <c r="H2">
        <v>55000</v>
      </c>
      <c r="I2" s="3">
        <v>0.05</v>
      </c>
      <c r="J2" t="s">
        <v>15</v>
      </c>
      <c r="K2">
        <f>G2*H2</f>
        <v>55000</v>
      </c>
      <c r="L2">
        <f>K2*(1-I2)</f>
        <v>52250</v>
      </c>
    </row>
    <row r="3" spans="1:12" x14ac:dyDescent="0.45">
      <c r="A3" t="s">
        <v>16</v>
      </c>
      <c r="B3" s="2">
        <v>46029</v>
      </c>
      <c r="C3" t="s">
        <v>17</v>
      </c>
      <c r="D3" t="s">
        <v>18</v>
      </c>
      <c r="E3" t="s">
        <v>19</v>
      </c>
      <c r="F3" t="s">
        <v>14</v>
      </c>
      <c r="G3">
        <v>2</v>
      </c>
      <c r="H3">
        <v>22000</v>
      </c>
      <c r="I3" s="3">
        <v>0</v>
      </c>
      <c r="J3" t="s">
        <v>20</v>
      </c>
      <c r="K3">
        <f t="shared" ref="K3:K30" si="0">G3*H3</f>
        <v>44000</v>
      </c>
      <c r="L3">
        <f t="shared" ref="L3:L30" si="1">K3*(1-I3)</f>
        <v>44000</v>
      </c>
    </row>
    <row r="4" spans="1:12" x14ac:dyDescent="0.45">
      <c r="A4" t="s">
        <v>21</v>
      </c>
      <c r="B4" s="2">
        <v>46031</v>
      </c>
      <c r="C4" t="s">
        <v>22</v>
      </c>
      <c r="D4" t="s">
        <v>23</v>
      </c>
      <c r="E4" t="s">
        <v>86</v>
      </c>
      <c r="F4" t="s">
        <v>25</v>
      </c>
      <c r="G4">
        <v>3</v>
      </c>
      <c r="H4">
        <v>1800</v>
      </c>
      <c r="I4" s="3">
        <v>0.1</v>
      </c>
      <c r="J4" t="s">
        <v>26</v>
      </c>
      <c r="K4">
        <f t="shared" si="0"/>
        <v>5400</v>
      </c>
      <c r="L4">
        <f t="shared" si="1"/>
        <v>4860</v>
      </c>
    </row>
    <row r="5" spans="1:12" x14ac:dyDescent="0.45">
      <c r="A5" t="s">
        <v>27</v>
      </c>
      <c r="B5" s="2">
        <v>46034</v>
      </c>
      <c r="C5" t="s">
        <v>28</v>
      </c>
      <c r="D5" t="s">
        <v>29</v>
      </c>
      <c r="E5" t="s">
        <v>30</v>
      </c>
      <c r="F5" t="s">
        <v>14</v>
      </c>
      <c r="G5">
        <v>1</v>
      </c>
      <c r="H5">
        <v>28000</v>
      </c>
      <c r="I5" s="3">
        <v>0.05</v>
      </c>
      <c r="J5" t="s">
        <v>15</v>
      </c>
      <c r="K5">
        <f t="shared" si="0"/>
        <v>28000</v>
      </c>
      <c r="L5">
        <f t="shared" si="1"/>
        <v>26600</v>
      </c>
    </row>
    <row r="6" spans="1:12" x14ac:dyDescent="0.45">
      <c r="A6" t="s">
        <v>31</v>
      </c>
      <c r="B6" s="2">
        <v>46037</v>
      </c>
      <c r="C6" t="s">
        <v>11</v>
      </c>
      <c r="D6" t="s">
        <v>18</v>
      </c>
      <c r="E6" t="s">
        <v>13</v>
      </c>
      <c r="F6" t="s">
        <v>14</v>
      </c>
      <c r="G6">
        <v>1</v>
      </c>
      <c r="H6">
        <v>55000</v>
      </c>
      <c r="I6" s="3">
        <v>0</v>
      </c>
      <c r="J6" t="s">
        <v>20</v>
      </c>
      <c r="K6">
        <f t="shared" si="0"/>
        <v>55000</v>
      </c>
      <c r="L6">
        <f t="shared" si="1"/>
        <v>55000</v>
      </c>
    </row>
    <row r="7" spans="1:12" x14ac:dyDescent="0.45">
      <c r="A7" t="s">
        <v>32</v>
      </c>
      <c r="B7" s="2">
        <v>46040</v>
      </c>
      <c r="C7" t="s">
        <v>33</v>
      </c>
      <c r="D7" t="s">
        <v>34</v>
      </c>
      <c r="E7" t="s">
        <v>35</v>
      </c>
      <c r="F7" t="s">
        <v>25</v>
      </c>
      <c r="G7">
        <v>4</v>
      </c>
      <c r="H7">
        <v>650</v>
      </c>
      <c r="I7" s="3">
        <v>0</v>
      </c>
      <c r="J7" t="s">
        <v>15</v>
      </c>
      <c r="K7">
        <f t="shared" si="0"/>
        <v>2600</v>
      </c>
      <c r="L7">
        <f t="shared" si="1"/>
        <v>2600</v>
      </c>
    </row>
    <row r="8" spans="1:12" x14ac:dyDescent="0.45">
      <c r="A8" t="s">
        <v>36</v>
      </c>
      <c r="B8" s="2">
        <v>46042</v>
      </c>
      <c r="C8" t="s">
        <v>17</v>
      </c>
      <c r="D8" t="s">
        <v>37</v>
      </c>
      <c r="E8" t="s">
        <v>19</v>
      </c>
      <c r="F8" t="s">
        <v>14</v>
      </c>
      <c r="G8">
        <v>1</v>
      </c>
      <c r="H8">
        <v>22000</v>
      </c>
      <c r="I8" s="3">
        <v>0.05</v>
      </c>
      <c r="J8" t="s">
        <v>26</v>
      </c>
      <c r="K8">
        <f t="shared" si="0"/>
        <v>22000</v>
      </c>
      <c r="L8">
        <f t="shared" si="1"/>
        <v>20900</v>
      </c>
    </row>
    <row r="9" spans="1:12" x14ac:dyDescent="0.45">
      <c r="A9" t="s">
        <v>38</v>
      </c>
      <c r="B9" s="2">
        <v>46045</v>
      </c>
      <c r="C9" t="s">
        <v>22</v>
      </c>
      <c r="D9" t="s">
        <v>23</v>
      </c>
      <c r="E9" t="s">
        <v>39</v>
      </c>
      <c r="F9" t="s">
        <v>25</v>
      </c>
      <c r="G9">
        <v>2</v>
      </c>
      <c r="H9">
        <v>1400</v>
      </c>
      <c r="I9" s="3">
        <v>0</v>
      </c>
      <c r="J9" t="s">
        <v>20</v>
      </c>
      <c r="K9">
        <f t="shared" si="0"/>
        <v>2800</v>
      </c>
      <c r="L9">
        <f t="shared" si="1"/>
        <v>2800</v>
      </c>
    </row>
    <row r="10" spans="1:12" x14ac:dyDescent="0.45">
      <c r="A10" t="s">
        <v>40</v>
      </c>
      <c r="B10" s="2">
        <v>46048</v>
      </c>
      <c r="C10" t="s">
        <v>28</v>
      </c>
      <c r="D10" t="s">
        <v>18</v>
      </c>
      <c r="E10" t="s">
        <v>19</v>
      </c>
      <c r="F10" t="s">
        <v>14</v>
      </c>
      <c r="G10">
        <v>2</v>
      </c>
      <c r="H10">
        <v>28000</v>
      </c>
      <c r="I10" s="3">
        <v>0.1</v>
      </c>
      <c r="J10" t="s">
        <v>15</v>
      </c>
      <c r="K10">
        <f t="shared" si="0"/>
        <v>56000</v>
      </c>
      <c r="L10">
        <f t="shared" si="1"/>
        <v>50400</v>
      </c>
    </row>
    <row r="11" spans="1:12" x14ac:dyDescent="0.45">
      <c r="A11" t="s">
        <v>42</v>
      </c>
      <c r="B11" s="2">
        <v>46055</v>
      </c>
      <c r="C11" t="s">
        <v>11</v>
      </c>
      <c r="D11" t="s">
        <v>43</v>
      </c>
      <c r="E11" t="s">
        <v>86</v>
      </c>
      <c r="F11" t="s">
        <v>25</v>
      </c>
      <c r="G11">
        <v>2</v>
      </c>
      <c r="H11">
        <v>1800</v>
      </c>
      <c r="I11" s="3">
        <v>0</v>
      </c>
      <c r="J11" t="s">
        <v>26</v>
      </c>
      <c r="K11">
        <f t="shared" si="0"/>
        <v>3600</v>
      </c>
      <c r="L11">
        <f t="shared" si="1"/>
        <v>3600</v>
      </c>
    </row>
    <row r="12" spans="1:12" x14ac:dyDescent="0.45">
      <c r="A12" t="s">
        <v>44</v>
      </c>
      <c r="B12" s="2">
        <v>46058</v>
      </c>
      <c r="C12" t="s">
        <v>33</v>
      </c>
      <c r="D12" t="s">
        <v>12</v>
      </c>
      <c r="E12" t="s">
        <v>19</v>
      </c>
      <c r="F12" t="s">
        <v>14</v>
      </c>
      <c r="G12">
        <v>3</v>
      </c>
      <c r="H12">
        <v>22000</v>
      </c>
      <c r="I12" s="3">
        <v>0.05</v>
      </c>
      <c r="J12" t="s">
        <v>20</v>
      </c>
      <c r="K12">
        <f t="shared" si="0"/>
        <v>66000</v>
      </c>
      <c r="L12">
        <f t="shared" si="1"/>
        <v>62700</v>
      </c>
    </row>
    <row r="13" spans="1:12" x14ac:dyDescent="0.45">
      <c r="A13" t="s">
        <v>45</v>
      </c>
      <c r="B13" s="2">
        <v>46061</v>
      </c>
      <c r="C13" t="s">
        <v>17</v>
      </c>
      <c r="D13" t="s">
        <v>18</v>
      </c>
      <c r="E13" t="s">
        <v>35</v>
      </c>
      <c r="F13" t="s">
        <v>25</v>
      </c>
      <c r="G13">
        <v>5</v>
      </c>
      <c r="H13">
        <v>650</v>
      </c>
      <c r="I13" s="3">
        <v>0</v>
      </c>
      <c r="J13" t="s">
        <v>15</v>
      </c>
      <c r="K13">
        <f t="shared" si="0"/>
        <v>3250</v>
      </c>
      <c r="L13">
        <f t="shared" si="1"/>
        <v>3250</v>
      </c>
    </row>
    <row r="14" spans="1:12" x14ac:dyDescent="0.45">
      <c r="A14" t="s">
        <v>46</v>
      </c>
      <c r="B14" s="2">
        <v>46063</v>
      </c>
      <c r="C14" t="s">
        <v>22</v>
      </c>
      <c r="D14" t="s">
        <v>23</v>
      </c>
      <c r="E14" t="s">
        <v>13</v>
      </c>
      <c r="F14" t="s">
        <v>14</v>
      </c>
      <c r="G14">
        <v>1</v>
      </c>
      <c r="H14">
        <v>55000</v>
      </c>
      <c r="I14" s="3">
        <v>0.1</v>
      </c>
      <c r="J14" t="s">
        <v>20</v>
      </c>
      <c r="K14">
        <f t="shared" si="0"/>
        <v>55000</v>
      </c>
      <c r="L14">
        <f t="shared" si="1"/>
        <v>49500</v>
      </c>
    </row>
    <row r="15" spans="1:12" x14ac:dyDescent="0.45">
      <c r="A15" t="s">
        <v>47</v>
      </c>
      <c r="B15" s="2">
        <v>46066</v>
      </c>
      <c r="C15" t="s">
        <v>28</v>
      </c>
      <c r="D15" t="s">
        <v>12</v>
      </c>
      <c r="E15" t="s">
        <v>39</v>
      </c>
      <c r="F15" t="s">
        <v>25</v>
      </c>
      <c r="G15">
        <v>3</v>
      </c>
      <c r="H15">
        <v>1400</v>
      </c>
      <c r="I15" s="3">
        <v>0</v>
      </c>
      <c r="J15" t="s">
        <v>26</v>
      </c>
      <c r="K15">
        <f t="shared" si="0"/>
        <v>4200</v>
      </c>
      <c r="L15">
        <f t="shared" si="1"/>
        <v>4200</v>
      </c>
    </row>
    <row r="16" spans="1:12" x14ac:dyDescent="0.45">
      <c r="A16" t="s">
        <v>48</v>
      </c>
      <c r="B16" s="2">
        <v>46069</v>
      </c>
      <c r="C16" t="s">
        <v>11</v>
      </c>
      <c r="D16" t="s">
        <v>18</v>
      </c>
      <c r="E16" t="s">
        <v>19</v>
      </c>
      <c r="F16" t="s">
        <v>14</v>
      </c>
      <c r="G16">
        <v>2</v>
      </c>
      <c r="H16">
        <v>22000</v>
      </c>
      <c r="I16" s="3">
        <v>0.05</v>
      </c>
      <c r="J16" t="s">
        <v>15</v>
      </c>
      <c r="K16">
        <f t="shared" si="0"/>
        <v>44000</v>
      </c>
      <c r="L16">
        <f t="shared" si="1"/>
        <v>41800</v>
      </c>
    </row>
    <row r="17" spans="1:12" x14ac:dyDescent="0.45">
      <c r="A17" t="s">
        <v>49</v>
      </c>
      <c r="B17" s="2">
        <v>46072</v>
      </c>
      <c r="C17" t="s">
        <v>50</v>
      </c>
      <c r="D17" t="s">
        <v>43</v>
      </c>
      <c r="E17" t="s">
        <v>30</v>
      </c>
      <c r="F17" t="s">
        <v>14</v>
      </c>
      <c r="G17">
        <v>1</v>
      </c>
      <c r="H17">
        <v>28000</v>
      </c>
      <c r="I17" s="3">
        <v>0</v>
      </c>
      <c r="J17" t="s">
        <v>20</v>
      </c>
      <c r="K17">
        <f t="shared" si="0"/>
        <v>28000</v>
      </c>
      <c r="L17">
        <f t="shared" si="1"/>
        <v>28000</v>
      </c>
    </row>
    <row r="18" spans="1:12" x14ac:dyDescent="0.45">
      <c r="A18" t="s">
        <v>51</v>
      </c>
      <c r="B18" s="2">
        <v>46075</v>
      </c>
      <c r="C18" t="s">
        <v>17</v>
      </c>
      <c r="D18" t="s">
        <v>12</v>
      </c>
      <c r="E18" t="s">
        <v>86</v>
      </c>
      <c r="F18" t="s">
        <v>25</v>
      </c>
      <c r="G18">
        <v>4</v>
      </c>
      <c r="H18">
        <v>1800</v>
      </c>
      <c r="I18" s="3">
        <v>0.1</v>
      </c>
      <c r="J18" t="s">
        <v>26</v>
      </c>
      <c r="K18">
        <f t="shared" si="0"/>
        <v>7200</v>
      </c>
      <c r="L18">
        <f t="shared" si="1"/>
        <v>6480</v>
      </c>
    </row>
    <row r="19" spans="1:12" x14ac:dyDescent="0.45">
      <c r="A19" t="s">
        <v>52</v>
      </c>
      <c r="B19" s="2">
        <v>46078</v>
      </c>
      <c r="C19" t="s">
        <v>22</v>
      </c>
      <c r="D19" t="s">
        <v>23</v>
      </c>
      <c r="E19" t="s">
        <v>35</v>
      </c>
      <c r="F19" t="s">
        <v>25</v>
      </c>
      <c r="G19">
        <v>6</v>
      </c>
      <c r="H19">
        <v>650</v>
      </c>
      <c r="I19" s="3">
        <v>0</v>
      </c>
      <c r="J19" t="s">
        <v>15</v>
      </c>
      <c r="K19">
        <f t="shared" si="0"/>
        <v>3900</v>
      </c>
      <c r="L19">
        <f t="shared" si="1"/>
        <v>3900</v>
      </c>
    </row>
    <row r="20" spans="1:12" x14ac:dyDescent="0.45">
      <c r="A20" t="s">
        <v>53</v>
      </c>
      <c r="B20" s="2">
        <v>46082</v>
      </c>
      <c r="C20" t="s">
        <v>28</v>
      </c>
      <c r="D20" t="s">
        <v>18</v>
      </c>
      <c r="E20" t="s">
        <v>13</v>
      </c>
      <c r="F20" t="s">
        <v>14</v>
      </c>
      <c r="G20">
        <v>1</v>
      </c>
      <c r="H20">
        <v>55000</v>
      </c>
      <c r="I20" s="3">
        <v>0.05</v>
      </c>
      <c r="J20" t="s">
        <v>20</v>
      </c>
      <c r="K20">
        <f t="shared" si="0"/>
        <v>55000</v>
      </c>
      <c r="L20">
        <f t="shared" si="1"/>
        <v>52250</v>
      </c>
    </row>
    <row r="21" spans="1:12" x14ac:dyDescent="0.45">
      <c r="A21" t="s">
        <v>54</v>
      </c>
      <c r="B21" s="2">
        <v>46085</v>
      </c>
      <c r="C21" t="s">
        <v>11</v>
      </c>
      <c r="D21" t="s">
        <v>43</v>
      </c>
      <c r="E21" t="s">
        <v>39</v>
      </c>
      <c r="F21" t="s">
        <v>25</v>
      </c>
      <c r="G21">
        <v>2</v>
      </c>
      <c r="H21">
        <v>1400</v>
      </c>
      <c r="I21" s="3">
        <v>0</v>
      </c>
      <c r="J21" t="s">
        <v>15</v>
      </c>
      <c r="K21">
        <f t="shared" si="0"/>
        <v>2800</v>
      </c>
      <c r="L21">
        <f t="shared" si="1"/>
        <v>2800</v>
      </c>
    </row>
    <row r="22" spans="1:12" x14ac:dyDescent="0.45">
      <c r="A22" t="s">
        <v>55</v>
      </c>
      <c r="B22" s="2">
        <v>46088</v>
      </c>
      <c r="C22" t="s">
        <v>33</v>
      </c>
      <c r="D22" t="s">
        <v>12</v>
      </c>
      <c r="E22" t="s">
        <v>30</v>
      </c>
      <c r="F22" t="s">
        <v>14</v>
      </c>
      <c r="G22">
        <v>2</v>
      </c>
      <c r="H22">
        <v>28000</v>
      </c>
      <c r="I22" s="3">
        <v>0</v>
      </c>
      <c r="J22" t="s">
        <v>26</v>
      </c>
      <c r="K22">
        <f t="shared" si="0"/>
        <v>56000</v>
      </c>
      <c r="L22">
        <f t="shared" si="1"/>
        <v>56000</v>
      </c>
    </row>
    <row r="23" spans="1:12" x14ac:dyDescent="0.45">
      <c r="A23" t="s">
        <v>56</v>
      </c>
      <c r="B23" s="2">
        <v>46091</v>
      </c>
      <c r="C23" t="s">
        <v>17</v>
      </c>
      <c r="D23" t="s">
        <v>18</v>
      </c>
      <c r="E23" t="s">
        <v>19</v>
      </c>
      <c r="F23" t="s">
        <v>14</v>
      </c>
      <c r="G23">
        <v>1</v>
      </c>
      <c r="H23">
        <v>22000</v>
      </c>
      <c r="I23" s="3">
        <v>0</v>
      </c>
      <c r="J23" t="s">
        <v>20</v>
      </c>
      <c r="K23">
        <f t="shared" si="0"/>
        <v>22000</v>
      </c>
      <c r="L23">
        <f t="shared" si="1"/>
        <v>22000</v>
      </c>
    </row>
    <row r="24" spans="1:12" x14ac:dyDescent="0.45">
      <c r="A24" t="s">
        <v>57</v>
      </c>
      <c r="B24" s="2">
        <v>46094</v>
      </c>
      <c r="C24" t="s">
        <v>22</v>
      </c>
      <c r="D24" t="s">
        <v>23</v>
      </c>
      <c r="E24" t="s">
        <v>86</v>
      </c>
      <c r="F24" t="s">
        <v>25</v>
      </c>
      <c r="G24">
        <v>2</v>
      </c>
      <c r="H24">
        <v>1800</v>
      </c>
      <c r="I24" s="3">
        <v>0.05</v>
      </c>
      <c r="J24" t="s">
        <v>15</v>
      </c>
      <c r="K24">
        <f t="shared" si="0"/>
        <v>3600</v>
      </c>
      <c r="L24">
        <f t="shared" si="1"/>
        <v>3420</v>
      </c>
    </row>
    <row r="25" spans="1:12" x14ac:dyDescent="0.45">
      <c r="A25" t="s">
        <v>58</v>
      </c>
      <c r="B25" s="2">
        <v>46097</v>
      </c>
      <c r="C25" t="s">
        <v>28</v>
      </c>
      <c r="D25" t="s">
        <v>12</v>
      </c>
      <c r="E25" t="s">
        <v>35</v>
      </c>
      <c r="F25" t="s">
        <v>25</v>
      </c>
      <c r="G25">
        <v>3</v>
      </c>
      <c r="H25">
        <v>650</v>
      </c>
      <c r="I25" s="3">
        <v>0</v>
      </c>
      <c r="J25" t="s">
        <v>26</v>
      </c>
      <c r="K25">
        <f t="shared" si="0"/>
        <v>1950</v>
      </c>
      <c r="L25">
        <f t="shared" si="1"/>
        <v>1950</v>
      </c>
    </row>
    <row r="26" spans="1:12" x14ac:dyDescent="0.45">
      <c r="A26" t="s">
        <v>59</v>
      </c>
      <c r="B26" s="2">
        <v>46100</v>
      </c>
      <c r="C26" t="s">
        <v>11</v>
      </c>
      <c r="D26" t="s">
        <v>18</v>
      </c>
      <c r="E26" t="s">
        <v>30</v>
      </c>
      <c r="F26" t="s">
        <v>14</v>
      </c>
      <c r="G26">
        <v>1</v>
      </c>
      <c r="H26">
        <v>28000</v>
      </c>
      <c r="I26" s="3">
        <v>0.1</v>
      </c>
      <c r="J26" t="s">
        <v>15</v>
      </c>
      <c r="K26">
        <f t="shared" si="0"/>
        <v>28000</v>
      </c>
      <c r="L26">
        <f t="shared" si="1"/>
        <v>25200</v>
      </c>
    </row>
    <row r="27" spans="1:12" x14ac:dyDescent="0.45">
      <c r="A27" t="s">
        <v>60</v>
      </c>
      <c r="B27" s="2">
        <v>46103</v>
      </c>
      <c r="C27" t="s">
        <v>33</v>
      </c>
      <c r="D27" t="s">
        <v>43</v>
      </c>
      <c r="E27" t="s">
        <v>13</v>
      </c>
      <c r="F27" t="s">
        <v>14</v>
      </c>
      <c r="G27">
        <v>1</v>
      </c>
      <c r="H27">
        <v>55000</v>
      </c>
      <c r="I27" s="3">
        <v>0</v>
      </c>
      <c r="J27" t="s">
        <v>20</v>
      </c>
      <c r="K27">
        <f t="shared" si="0"/>
        <v>55000</v>
      </c>
      <c r="L27">
        <f t="shared" si="1"/>
        <v>55000</v>
      </c>
    </row>
    <row r="28" spans="1:12" x14ac:dyDescent="0.45">
      <c r="A28" t="s">
        <v>61</v>
      </c>
      <c r="B28" s="2">
        <v>46106</v>
      </c>
      <c r="C28" t="s">
        <v>17</v>
      </c>
      <c r="D28" t="s">
        <v>12</v>
      </c>
      <c r="E28" t="s">
        <v>39</v>
      </c>
      <c r="F28" t="s">
        <v>25</v>
      </c>
      <c r="G28">
        <v>2</v>
      </c>
      <c r="H28">
        <v>1400</v>
      </c>
      <c r="I28" s="3">
        <v>0.05</v>
      </c>
      <c r="J28" t="s">
        <v>15</v>
      </c>
      <c r="K28">
        <f t="shared" si="0"/>
        <v>2800</v>
      </c>
      <c r="L28">
        <f t="shared" si="1"/>
        <v>2660</v>
      </c>
    </row>
    <row r="29" spans="1:12" x14ac:dyDescent="0.45">
      <c r="A29" t="s">
        <v>62</v>
      </c>
      <c r="B29" s="2">
        <v>46109</v>
      </c>
      <c r="C29" t="s">
        <v>22</v>
      </c>
      <c r="D29" t="s">
        <v>23</v>
      </c>
      <c r="E29" t="s">
        <v>19</v>
      </c>
      <c r="F29" t="s">
        <v>14</v>
      </c>
      <c r="G29">
        <v>2</v>
      </c>
      <c r="H29">
        <v>22000</v>
      </c>
      <c r="I29" s="3">
        <v>0</v>
      </c>
      <c r="J29" t="s">
        <v>26</v>
      </c>
      <c r="K29">
        <f t="shared" si="0"/>
        <v>44000</v>
      </c>
      <c r="L29">
        <f t="shared" si="1"/>
        <v>44000</v>
      </c>
    </row>
    <row r="30" spans="1:12" x14ac:dyDescent="0.45">
      <c r="A30" t="s">
        <v>63</v>
      </c>
      <c r="B30" s="2">
        <v>46111</v>
      </c>
      <c r="C30" t="s">
        <v>28</v>
      </c>
      <c r="D30" t="s">
        <v>18</v>
      </c>
      <c r="E30" t="s">
        <v>86</v>
      </c>
      <c r="F30" t="s">
        <v>25</v>
      </c>
      <c r="G30">
        <v>3</v>
      </c>
      <c r="H30">
        <v>1800</v>
      </c>
      <c r="I30" s="3">
        <v>0.05</v>
      </c>
      <c r="J30" t="s">
        <v>20</v>
      </c>
      <c r="K30">
        <f t="shared" si="0"/>
        <v>5400</v>
      </c>
      <c r="L30">
        <f t="shared" si="1"/>
        <v>5130</v>
      </c>
    </row>
  </sheetData>
  <autoFilter ref="A1:J30" xr:uid="{00000000-0009-0000-0000-000000000000}"/>
  <conditionalFormatting sqref="L2:L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2" width="14" customWidth="1"/>
    <col min="3" max="4" width="16" customWidth="1"/>
    <col min="5" max="6" width="18" customWidth="1"/>
    <col min="7" max="7" width="10" customWidth="1"/>
    <col min="8" max="8" width="14" customWidth="1"/>
    <col min="9" max="9" width="12" customWidth="1"/>
    <col min="10" max="10" width="18" customWidth="1"/>
  </cols>
  <sheetData>
    <row r="1" spans="1:10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45">
      <c r="A2" t="s">
        <v>10</v>
      </c>
      <c r="B2" s="2">
        <v>46027</v>
      </c>
      <c r="C2" t="s">
        <v>11</v>
      </c>
      <c r="D2" t="s">
        <v>12</v>
      </c>
      <c r="E2" t="s">
        <v>13</v>
      </c>
      <c r="F2" t="s">
        <v>14</v>
      </c>
      <c r="G2">
        <v>1</v>
      </c>
      <c r="H2">
        <v>55000</v>
      </c>
      <c r="I2" s="3">
        <v>0.05</v>
      </c>
      <c r="J2" t="s">
        <v>15</v>
      </c>
    </row>
    <row r="3" spans="1:10" x14ac:dyDescent="0.45">
      <c r="A3" t="s">
        <v>16</v>
      </c>
      <c r="B3" s="2">
        <v>46029</v>
      </c>
      <c r="C3" t="s">
        <v>17</v>
      </c>
      <c r="D3" t="s">
        <v>18</v>
      </c>
      <c r="E3" t="s">
        <v>19</v>
      </c>
      <c r="F3" t="s">
        <v>14</v>
      </c>
      <c r="G3">
        <v>2</v>
      </c>
      <c r="H3">
        <v>22000</v>
      </c>
      <c r="I3" s="3">
        <v>0</v>
      </c>
      <c r="J3" t="s">
        <v>20</v>
      </c>
    </row>
    <row r="4" spans="1:10" x14ac:dyDescent="0.45">
      <c r="A4" t="s">
        <v>21</v>
      </c>
      <c r="B4" s="2">
        <v>46031</v>
      </c>
      <c r="C4" t="s">
        <v>22</v>
      </c>
      <c r="D4" t="s">
        <v>23</v>
      </c>
      <c r="E4" t="s">
        <v>24</v>
      </c>
      <c r="F4" t="s">
        <v>25</v>
      </c>
      <c r="G4">
        <v>3</v>
      </c>
      <c r="H4">
        <v>1800</v>
      </c>
      <c r="I4" s="3">
        <v>0.1</v>
      </c>
      <c r="J4" t="s">
        <v>26</v>
      </c>
    </row>
    <row r="5" spans="1:10" x14ac:dyDescent="0.45">
      <c r="A5" t="s">
        <v>27</v>
      </c>
      <c r="B5" s="2">
        <v>46034</v>
      </c>
      <c r="C5" t="s">
        <v>28</v>
      </c>
      <c r="D5" t="s">
        <v>29</v>
      </c>
      <c r="E5" t="s">
        <v>30</v>
      </c>
      <c r="F5" t="s">
        <v>14</v>
      </c>
      <c r="G5">
        <v>1</v>
      </c>
      <c r="H5">
        <v>28000</v>
      </c>
      <c r="I5" s="3">
        <v>0.05</v>
      </c>
      <c r="J5" t="s">
        <v>15</v>
      </c>
    </row>
    <row r="6" spans="1:10" x14ac:dyDescent="0.45">
      <c r="A6" t="s">
        <v>31</v>
      </c>
      <c r="B6" s="2">
        <v>46037</v>
      </c>
      <c r="C6" t="s">
        <v>11</v>
      </c>
      <c r="D6" t="s">
        <v>18</v>
      </c>
      <c r="E6" t="s">
        <v>13</v>
      </c>
      <c r="F6" t="s">
        <v>14</v>
      </c>
      <c r="G6">
        <v>1</v>
      </c>
      <c r="H6">
        <v>55000</v>
      </c>
      <c r="I6" s="3">
        <v>0</v>
      </c>
      <c r="J6" t="s">
        <v>20</v>
      </c>
    </row>
    <row r="7" spans="1:10" x14ac:dyDescent="0.45">
      <c r="A7" t="s">
        <v>32</v>
      </c>
      <c r="B7" s="2">
        <v>46040</v>
      </c>
      <c r="C7" t="s">
        <v>33</v>
      </c>
      <c r="D7" t="s">
        <v>34</v>
      </c>
      <c r="E7" t="s">
        <v>35</v>
      </c>
      <c r="F7" t="s">
        <v>25</v>
      </c>
      <c r="G7">
        <v>4</v>
      </c>
      <c r="H7">
        <v>650</v>
      </c>
      <c r="I7" s="3">
        <v>0</v>
      </c>
      <c r="J7" t="s">
        <v>15</v>
      </c>
    </row>
    <row r="8" spans="1:10" x14ac:dyDescent="0.45">
      <c r="A8" t="s">
        <v>36</v>
      </c>
      <c r="B8" s="2">
        <v>46042</v>
      </c>
      <c r="C8" t="s">
        <v>17</v>
      </c>
      <c r="D8" t="s">
        <v>37</v>
      </c>
      <c r="E8" t="s">
        <v>19</v>
      </c>
      <c r="F8" t="s">
        <v>14</v>
      </c>
      <c r="G8">
        <v>1</v>
      </c>
      <c r="H8">
        <v>22000</v>
      </c>
      <c r="I8" s="3">
        <v>0.05</v>
      </c>
      <c r="J8" t="s">
        <v>26</v>
      </c>
    </row>
    <row r="9" spans="1:10" x14ac:dyDescent="0.45">
      <c r="A9" t="s">
        <v>38</v>
      </c>
      <c r="B9" s="2">
        <v>46045</v>
      </c>
      <c r="C9" t="s">
        <v>22</v>
      </c>
      <c r="D9" t="s">
        <v>23</v>
      </c>
      <c r="E9" t="s">
        <v>39</v>
      </c>
      <c r="F9" t="s">
        <v>25</v>
      </c>
      <c r="G9">
        <v>2</v>
      </c>
      <c r="H9">
        <v>1400</v>
      </c>
      <c r="I9" s="3">
        <v>0</v>
      </c>
      <c r="J9" t="s">
        <v>20</v>
      </c>
    </row>
    <row r="10" spans="1:10" x14ac:dyDescent="0.45">
      <c r="A10" t="s">
        <v>40</v>
      </c>
      <c r="B10" s="2">
        <v>46048</v>
      </c>
      <c r="C10" t="s">
        <v>28</v>
      </c>
      <c r="D10" t="s">
        <v>18</v>
      </c>
      <c r="E10" t="s">
        <v>41</v>
      </c>
      <c r="F10" t="s">
        <v>14</v>
      </c>
      <c r="G10">
        <v>2</v>
      </c>
      <c r="H10">
        <v>28000</v>
      </c>
      <c r="I10" s="3">
        <v>0.1</v>
      </c>
      <c r="J10" t="s">
        <v>15</v>
      </c>
    </row>
    <row r="11" spans="1:10" x14ac:dyDescent="0.45">
      <c r="A11" t="s">
        <v>42</v>
      </c>
      <c r="B11" s="2">
        <v>46055</v>
      </c>
      <c r="C11" t="s">
        <v>11</v>
      </c>
      <c r="D11" t="s">
        <v>43</v>
      </c>
      <c r="E11" t="s">
        <v>24</v>
      </c>
      <c r="F11" t="s">
        <v>25</v>
      </c>
      <c r="G11">
        <v>2</v>
      </c>
      <c r="H11">
        <v>1800</v>
      </c>
      <c r="I11" s="3">
        <v>0</v>
      </c>
      <c r="J11" t="s">
        <v>26</v>
      </c>
    </row>
    <row r="12" spans="1:10" x14ac:dyDescent="0.45">
      <c r="A12" t="s">
        <v>44</v>
      </c>
      <c r="B12" s="2">
        <v>46058</v>
      </c>
      <c r="C12" t="s">
        <v>33</v>
      </c>
      <c r="D12" t="s">
        <v>12</v>
      </c>
      <c r="E12" t="s">
        <v>19</v>
      </c>
      <c r="F12" t="s">
        <v>14</v>
      </c>
      <c r="G12">
        <v>3</v>
      </c>
      <c r="H12">
        <v>22000</v>
      </c>
      <c r="I12" s="3">
        <v>0.05</v>
      </c>
      <c r="J12" t="s">
        <v>20</v>
      </c>
    </row>
    <row r="13" spans="1:10" x14ac:dyDescent="0.45">
      <c r="A13" t="s">
        <v>27</v>
      </c>
      <c r="B13" s="2">
        <v>46034</v>
      </c>
      <c r="C13" t="s">
        <v>28</v>
      </c>
      <c r="D13" t="s">
        <v>29</v>
      </c>
      <c r="E13" t="s">
        <v>30</v>
      </c>
      <c r="F13" t="s">
        <v>14</v>
      </c>
      <c r="G13">
        <v>1</v>
      </c>
      <c r="H13">
        <v>28000</v>
      </c>
      <c r="I13" s="3">
        <v>0.05</v>
      </c>
      <c r="J13" t="s">
        <v>15</v>
      </c>
    </row>
    <row r="14" spans="1:10" x14ac:dyDescent="0.45">
      <c r="A14" t="s">
        <v>45</v>
      </c>
      <c r="B14" s="2">
        <v>46061</v>
      </c>
      <c r="C14" t="s">
        <v>17</v>
      </c>
      <c r="D14" t="s">
        <v>18</v>
      </c>
      <c r="E14" t="s">
        <v>35</v>
      </c>
      <c r="F14" t="s">
        <v>25</v>
      </c>
      <c r="G14">
        <v>5</v>
      </c>
      <c r="H14">
        <v>650</v>
      </c>
      <c r="I14" s="3">
        <v>0</v>
      </c>
      <c r="J14" t="s">
        <v>15</v>
      </c>
    </row>
    <row r="15" spans="1:10" x14ac:dyDescent="0.45">
      <c r="A15" t="s">
        <v>46</v>
      </c>
      <c r="B15" s="2">
        <v>46063</v>
      </c>
      <c r="C15" t="s">
        <v>22</v>
      </c>
      <c r="D15" t="s">
        <v>23</v>
      </c>
      <c r="E15" t="s">
        <v>13</v>
      </c>
      <c r="F15" t="s">
        <v>14</v>
      </c>
      <c r="G15">
        <v>1</v>
      </c>
      <c r="H15">
        <v>55000</v>
      </c>
      <c r="I15" s="3">
        <v>0.1</v>
      </c>
      <c r="J15" t="s">
        <v>20</v>
      </c>
    </row>
    <row r="16" spans="1:10" x14ac:dyDescent="0.45">
      <c r="A16" t="s">
        <v>47</v>
      </c>
      <c r="B16" s="2">
        <v>46066</v>
      </c>
      <c r="C16" t="s">
        <v>28</v>
      </c>
      <c r="D16" t="s">
        <v>12</v>
      </c>
      <c r="E16" t="s">
        <v>39</v>
      </c>
      <c r="F16" t="s">
        <v>25</v>
      </c>
      <c r="G16">
        <v>3</v>
      </c>
      <c r="H16">
        <v>1400</v>
      </c>
      <c r="I16" s="3">
        <v>0</v>
      </c>
      <c r="J16" t="s">
        <v>26</v>
      </c>
    </row>
    <row r="17" spans="1:10" x14ac:dyDescent="0.45">
      <c r="A17" t="s">
        <v>48</v>
      </c>
      <c r="B17" s="2">
        <v>46069</v>
      </c>
      <c r="C17" t="s">
        <v>11</v>
      </c>
      <c r="D17" t="s">
        <v>18</v>
      </c>
      <c r="E17" t="s">
        <v>19</v>
      </c>
      <c r="F17" t="s">
        <v>14</v>
      </c>
      <c r="G17">
        <v>2</v>
      </c>
      <c r="H17">
        <v>22000</v>
      </c>
      <c r="I17" s="3">
        <v>0.05</v>
      </c>
      <c r="J17" t="s">
        <v>15</v>
      </c>
    </row>
    <row r="18" spans="1:10" x14ac:dyDescent="0.45">
      <c r="A18" t="s">
        <v>49</v>
      </c>
      <c r="B18" s="2">
        <v>46072</v>
      </c>
      <c r="C18" t="s">
        <v>50</v>
      </c>
      <c r="D18" t="s">
        <v>43</v>
      </c>
      <c r="E18" t="s">
        <v>30</v>
      </c>
      <c r="F18" t="s">
        <v>14</v>
      </c>
      <c r="G18">
        <v>1</v>
      </c>
      <c r="H18">
        <v>28000</v>
      </c>
      <c r="I18" s="3">
        <v>0</v>
      </c>
      <c r="J18" t="s">
        <v>20</v>
      </c>
    </row>
    <row r="19" spans="1:10" x14ac:dyDescent="0.45">
      <c r="A19" t="s">
        <v>51</v>
      </c>
      <c r="B19" s="2">
        <v>46075</v>
      </c>
      <c r="C19" t="s">
        <v>17</v>
      </c>
      <c r="D19" t="s">
        <v>12</v>
      </c>
      <c r="E19" t="s">
        <v>24</v>
      </c>
      <c r="F19" t="s">
        <v>25</v>
      </c>
      <c r="G19">
        <v>4</v>
      </c>
      <c r="H19">
        <v>1800</v>
      </c>
      <c r="I19" s="3">
        <v>0.1</v>
      </c>
      <c r="J19" t="s">
        <v>26</v>
      </c>
    </row>
    <row r="20" spans="1:10" x14ac:dyDescent="0.45">
      <c r="A20" t="s">
        <v>52</v>
      </c>
      <c r="B20" s="2">
        <v>46078</v>
      </c>
      <c r="C20" t="s">
        <v>22</v>
      </c>
      <c r="D20" t="s">
        <v>23</v>
      </c>
      <c r="E20" t="s">
        <v>35</v>
      </c>
      <c r="F20" t="s">
        <v>25</v>
      </c>
      <c r="G20">
        <v>6</v>
      </c>
      <c r="H20">
        <v>650</v>
      </c>
      <c r="I20" s="3">
        <v>0</v>
      </c>
      <c r="J20" t="s">
        <v>15</v>
      </c>
    </row>
    <row r="21" spans="1:10" x14ac:dyDescent="0.45">
      <c r="A21" t="s">
        <v>53</v>
      </c>
      <c r="B21" s="2">
        <v>46082</v>
      </c>
      <c r="C21" t="s">
        <v>28</v>
      </c>
      <c r="D21" t="s">
        <v>18</v>
      </c>
      <c r="E21" t="s">
        <v>13</v>
      </c>
      <c r="F21" t="s">
        <v>14</v>
      </c>
      <c r="G21">
        <v>1</v>
      </c>
      <c r="H21">
        <v>55000</v>
      </c>
      <c r="I21" s="3">
        <v>0.05</v>
      </c>
      <c r="J21" t="s">
        <v>20</v>
      </c>
    </row>
    <row r="22" spans="1:10" x14ac:dyDescent="0.45">
      <c r="A22" t="s">
        <v>54</v>
      </c>
      <c r="B22" s="2">
        <v>46085</v>
      </c>
      <c r="C22" t="s">
        <v>11</v>
      </c>
      <c r="D22" t="s">
        <v>43</v>
      </c>
      <c r="E22" t="s">
        <v>39</v>
      </c>
      <c r="F22" t="s">
        <v>25</v>
      </c>
      <c r="G22">
        <v>2</v>
      </c>
      <c r="H22">
        <v>1400</v>
      </c>
      <c r="I22" s="3">
        <v>0</v>
      </c>
      <c r="J22" t="s">
        <v>15</v>
      </c>
    </row>
    <row r="23" spans="1:10" x14ac:dyDescent="0.45">
      <c r="A23" t="s">
        <v>55</v>
      </c>
      <c r="B23" s="2">
        <v>46088</v>
      </c>
      <c r="C23" t="s">
        <v>33</v>
      </c>
      <c r="D23" t="s">
        <v>12</v>
      </c>
      <c r="E23" t="s">
        <v>30</v>
      </c>
      <c r="F23" t="s">
        <v>14</v>
      </c>
      <c r="G23">
        <v>2</v>
      </c>
      <c r="H23">
        <v>28000</v>
      </c>
      <c r="I23" s="3"/>
      <c r="J23" t="s">
        <v>26</v>
      </c>
    </row>
    <row r="24" spans="1:10" x14ac:dyDescent="0.45">
      <c r="A24" t="s">
        <v>56</v>
      </c>
      <c r="B24" s="2">
        <v>46091</v>
      </c>
      <c r="C24" t="s">
        <v>17</v>
      </c>
      <c r="D24" t="s">
        <v>18</v>
      </c>
      <c r="E24" t="s">
        <v>19</v>
      </c>
      <c r="F24" t="s">
        <v>14</v>
      </c>
      <c r="G24">
        <v>1</v>
      </c>
      <c r="H24">
        <v>22000</v>
      </c>
      <c r="I24" s="3">
        <v>0</v>
      </c>
      <c r="J24" t="s">
        <v>20</v>
      </c>
    </row>
    <row r="25" spans="1:10" x14ac:dyDescent="0.45">
      <c r="A25" t="s">
        <v>57</v>
      </c>
      <c r="B25" s="2">
        <v>46094</v>
      </c>
      <c r="C25" t="s">
        <v>22</v>
      </c>
      <c r="D25" t="s">
        <v>23</v>
      </c>
      <c r="E25" t="s">
        <v>24</v>
      </c>
      <c r="F25" t="s">
        <v>25</v>
      </c>
      <c r="G25">
        <v>2</v>
      </c>
      <c r="H25">
        <v>1800</v>
      </c>
      <c r="I25" s="3">
        <v>0.05</v>
      </c>
      <c r="J25" t="s">
        <v>15</v>
      </c>
    </row>
    <row r="26" spans="1:10" x14ac:dyDescent="0.45">
      <c r="A26" t="s">
        <v>58</v>
      </c>
      <c r="B26" s="2">
        <v>46097</v>
      </c>
      <c r="C26" t="s">
        <v>28</v>
      </c>
      <c r="D26" t="s">
        <v>12</v>
      </c>
      <c r="E26" t="s">
        <v>35</v>
      </c>
      <c r="F26" t="s">
        <v>25</v>
      </c>
      <c r="G26">
        <v>3</v>
      </c>
      <c r="H26">
        <v>650</v>
      </c>
      <c r="I26" s="3">
        <v>0</v>
      </c>
      <c r="J26" t="s">
        <v>26</v>
      </c>
    </row>
    <row r="27" spans="1:10" x14ac:dyDescent="0.45">
      <c r="A27" t="s">
        <v>59</v>
      </c>
      <c r="B27" s="2">
        <v>46100</v>
      </c>
      <c r="C27" t="s">
        <v>11</v>
      </c>
      <c r="D27" t="s">
        <v>18</v>
      </c>
      <c r="E27" t="s">
        <v>30</v>
      </c>
      <c r="F27" t="s">
        <v>14</v>
      </c>
      <c r="G27">
        <v>1</v>
      </c>
      <c r="H27">
        <v>28000</v>
      </c>
      <c r="I27" s="3">
        <v>0.1</v>
      </c>
      <c r="J27" t="s">
        <v>15</v>
      </c>
    </row>
    <row r="28" spans="1:10" x14ac:dyDescent="0.45">
      <c r="A28" t="s">
        <v>60</v>
      </c>
      <c r="B28" s="2">
        <v>46103</v>
      </c>
      <c r="C28" t="s">
        <v>33</v>
      </c>
      <c r="D28" t="s">
        <v>43</v>
      </c>
      <c r="E28" t="s">
        <v>13</v>
      </c>
      <c r="F28" t="s">
        <v>14</v>
      </c>
      <c r="G28">
        <v>1</v>
      </c>
      <c r="H28">
        <v>55000</v>
      </c>
      <c r="I28" s="3">
        <v>0</v>
      </c>
      <c r="J28" t="s">
        <v>20</v>
      </c>
    </row>
    <row r="29" spans="1:10" x14ac:dyDescent="0.45">
      <c r="A29" t="s">
        <v>61</v>
      </c>
      <c r="B29" s="2">
        <v>46106</v>
      </c>
      <c r="C29" t="s">
        <v>17</v>
      </c>
      <c r="D29" t="s">
        <v>12</v>
      </c>
      <c r="E29" t="s">
        <v>39</v>
      </c>
      <c r="F29" t="s">
        <v>25</v>
      </c>
      <c r="G29">
        <v>2</v>
      </c>
      <c r="H29">
        <v>1400</v>
      </c>
      <c r="I29" s="3">
        <v>0.05</v>
      </c>
      <c r="J29" t="s">
        <v>15</v>
      </c>
    </row>
    <row r="30" spans="1:10" x14ac:dyDescent="0.45">
      <c r="A30" t="s">
        <v>62</v>
      </c>
      <c r="B30" s="2">
        <v>46109</v>
      </c>
      <c r="C30" t="s">
        <v>22</v>
      </c>
      <c r="D30" t="s">
        <v>23</v>
      </c>
      <c r="E30" t="s">
        <v>19</v>
      </c>
      <c r="F30" t="s">
        <v>14</v>
      </c>
      <c r="G30">
        <v>2</v>
      </c>
      <c r="H30">
        <v>22000</v>
      </c>
      <c r="I30" s="3">
        <v>0</v>
      </c>
      <c r="J30" t="s">
        <v>26</v>
      </c>
    </row>
    <row r="31" spans="1:10" x14ac:dyDescent="0.45">
      <c r="A31" t="s">
        <v>63</v>
      </c>
      <c r="B31" s="2">
        <v>46111</v>
      </c>
      <c r="C31" t="s">
        <v>28</v>
      </c>
      <c r="D31" t="s">
        <v>18</v>
      </c>
      <c r="E31" t="s">
        <v>24</v>
      </c>
      <c r="F31" t="s">
        <v>25</v>
      </c>
      <c r="G31">
        <v>3</v>
      </c>
      <c r="H31">
        <v>1800</v>
      </c>
      <c r="I31" s="3">
        <v>0.05</v>
      </c>
      <c r="J31" t="s">
        <v>20</v>
      </c>
    </row>
  </sheetData>
  <autoFilter ref="A1:J31" xr:uid="{00000000-0009-0000-00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8" customWidth="1"/>
    <col min="2" max="2" width="100" customWidth="1"/>
  </cols>
  <sheetData>
    <row r="1" spans="1:2" x14ac:dyDescent="0.45">
      <c r="A1" s="4" t="s">
        <v>64</v>
      </c>
      <c r="B1" s="4" t="s">
        <v>65</v>
      </c>
    </row>
    <row r="2" spans="1:2" ht="38" customHeight="1" x14ac:dyDescent="0.45">
      <c r="A2" s="5" t="s">
        <v>66</v>
      </c>
      <c r="B2" s="6" t="s">
        <v>67</v>
      </c>
    </row>
    <row r="3" spans="1:2" ht="38" customHeight="1" x14ac:dyDescent="0.45">
      <c r="A3" s="5" t="s">
        <v>68</v>
      </c>
      <c r="B3" s="6" t="s">
        <v>69</v>
      </c>
    </row>
    <row r="4" spans="1:2" ht="38" customHeight="1" x14ac:dyDescent="0.45">
      <c r="A4" s="5" t="s">
        <v>70</v>
      </c>
      <c r="B4" s="6" t="s">
        <v>71</v>
      </c>
    </row>
    <row r="5" spans="1:2" ht="38" customHeight="1" x14ac:dyDescent="0.45">
      <c r="A5" s="5" t="s">
        <v>72</v>
      </c>
      <c r="B5" s="6" t="s">
        <v>73</v>
      </c>
    </row>
    <row r="6" spans="1:2" ht="38" customHeight="1" x14ac:dyDescent="0.45">
      <c r="A6" s="5" t="s">
        <v>74</v>
      </c>
      <c r="B6" s="6" t="s">
        <v>75</v>
      </c>
    </row>
    <row r="7" spans="1:2" ht="38" customHeight="1" x14ac:dyDescent="0.45">
      <c r="A7" s="5" t="s">
        <v>76</v>
      </c>
      <c r="B7" s="6" t="s">
        <v>77</v>
      </c>
    </row>
    <row r="8" spans="1:2" ht="38" customHeight="1" x14ac:dyDescent="0.45">
      <c r="A8" s="5" t="s">
        <v>78</v>
      </c>
      <c r="B8" s="6" t="s">
        <v>79</v>
      </c>
    </row>
    <row r="9" spans="1:2" ht="38" customHeight="1" x14ac:dyDescent="0.45">
      <c r="A9" s="5" t="s">
        <v>80</v>
      </c>
      <c r="B9" s="6" t="s">
        <v>81</v>
      </c>
    </row>
    <row r="10" spans="1:2" ht="38" customHeight="1" x14ac:dyDescent="0.45">
      <c r="A10" s="5" t="s">
        <v>82</v>
      </c>
      <c r="B10" s="6" t="s">
        <v>83</v>
      </c>
    </row>
    <row r="11" spans="1:2" ht="38" customHeight="1" x14ac:dyDescent="0.45">
      <c r="A11" s="5" t="s">
        <v>84</v>
      </c>
      <c r="B11" s="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Sheet4</vt:lpstr>
      <vt:lpstr>Sheet5</vt:lpstr>
      <vt:lpstr>Sheet6</vt:lpstr>
      <vt:lpstr>Sheet7</vt:lpstr>
      <vt:lpstr>cleaned data</vt:lpstr>
      <vt:lpstr>Raw Sales Data</vt:lpstr>
      <vt:lpstr>Project Tasks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rharshita284@gmail.com</cp:lastModifiedBy>
  <dcterms:created xsi:type="dcterms:W3CDTF">2026-10-25T11:50:58Z</dcterms:created>
  <dcterms:modified xsi:type="dcterms:W3CDTF">2026-10-27T13:59:00Z</dcterms:modified>
</cp:coreProperties>
</file>